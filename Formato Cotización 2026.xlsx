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sconper\Documents\SISCONPER\Formatos\"/>
    </mc:Choice>
  </mc:AlternateContent>
  <xr:revisionPtr revIDLastSave="0" documentId="8_{3FD58E2F-675B-494B-8590-9C4E9EAE935E}" xr6:coauthVersionLast="47" xr6:coauthVersionMax="47" xr10:uidLastSave="{00000000-0000-0000-0000-000000000000}"/>
  <bookViews>
    <workbookView xWindow="-108" yWindow="-108" windowWidth="23256" windowHeight="12576" xr2:uid="{AF52FB50-7AF7-479D-85FA-050CE4A0974E}"/>
  </bookViews>
  <sheets>
    <sheet name="Cotiación" sheetId="10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65" i="10" l="1"/>
  <c r="M31" i="10"/>
  <c r="M29" i="10"/>
  <c r="M27" i="10"/>
  <c r="M53" i="10" l="1"/>
  <c r="M62" i="10" s="1"/>
</calcChain>
</file>

<file path=xl/sharedStrings.xml><?xml version="1.0" encoding="utf-8"?>
<sst xmlns="http://schemas.openxmlformats.org/spreadsheetml/2006/main" count="70" uniqueCount="67">
  <si>
    <t>CLIENTE</t>
  </si>
  <si>
    <t>Número:</t>
  </si>
  <si>
    <t xml:space="preserve">Empresa: </t>
  </si>
  <si>
    <t>Fecha:</t>
  </si>
  <si>
    <t>Web:</t>
  </si>
  <si>
    <r>
      <t>Vigencia:</t>
    </r>
    <r>
      <rPr>
        <sz val="10"/>
        <rFont val="Century Gothic"/>
        <family val="2"/>
      </rPr>
      <t xml:space="preserve"> 30 días</t>
    </r>
  </si>
  <si>
    <t>Calle y No.</t>
  </si>
  <si>
    <t xml:space="preserve"> </t>
  </si>
  <si>
    <t>Col.</t>
  </si>
  <si>
    <t>C.P.</t>
  </si>
  <si>
    <t>Tels.</t>
  </si>
  <si>
    <t>Contacto:</t>
  </si>
  <si>
    <t>Puesto:</t>
  </si>
  <si>
    <t>e-mail:</t>
  </si>
  <si>
    <t>Partida</t>
  </si>
  <si>
    <t>No de parte</t>
  </si>
  <si>
    <t>Descripción</t>
  </si>
  <si>
    <t>Unidad</t>
  </si>
  <si>
    <t>Cantidad</t>
  </si>
  <si>
    <t>Precio Unitario</t>
  </si>
  <si>
    <t>Total</t>
  </si>
  <si>
    <t>Serv.</t>
  </si>
  <si>
    <t>MX</t>
  </si>
  <si>
    <t>Realizada por:</t>
  </si>
  <si>
    <t>Autorizado:</t>
  </si>
  <si>
    <t>Observaciones</t>
  </si>
  <si>
    <t>Carlos Medina</t>
  </si>
  <si>
    <t>Precios en:</t>
  </si>
  <si>
    <t>IVA</t>
  </si>
  <si>
    <t>Preción más IVA</t>
  </si>
  <si>
    <t>Forma de Pago:</t>
  </si>
  <si>
    <t>Tiempo de Entrega:</t>
  </si>
  <si>
    <t>5 días posterior al pago inicial y primera renta</t>
  </si>
  <si>
    <t>Garantía:</t>
  </si>
  <si>
    <t>12 meses</t>
  </si>
  <si>
    <t>Lugar de entrega:</t>
  </si>
  <si>
    <t>Tienda</t>
  </si>
  <si>
    <t>Opcional</t>
  </si>
  <si>
    <t>Anticipo 100%</t>
  </si>
  <si>
    <t>Sistema de Conteo de Personas</t>
  </si>
  <si>
    <t xml:space="preserve">Brand Arrays México </t>
  </si>
  <si>
    <t>https://www.brandarrays.com/</t>
  </si>
  <si>
    <t xml:space="preserve">Cerrada de Loma Bonita #33 Planta Baja
</t>
  </si>
  <si>
    <t>Col. Lomas Altas, Cd. De México</t>
  </si>
  <si>
    <t xml:space="preserve">72821 </t>
  </si>
  <si>
    <t>55 8664 9500  ext. 227</t>
  </si>
  <si>
    <t>Celular: 55 8581 1502</t>
  </si>
  <si>
    <t>Lic. Mariana Palomino</t>
  </si>
  <si>
    <t>mantenimiento@typhoonmx.com</t>
  </si>
  <si>
    <t>20260122-3</t>
  </si>
  <si>
    <t>22 Enero 2026</t>
  </si>
  <si>
    <t>Pza.</t>
  </si>
  <si>
    <t>Instalación de sensor de conteo 3D, incluye programación en sistema</t>
  </si>
  <si>
    <t>Viáticos a Metepec</t>
  </si>
  <si>
    <t>Cámara de Conteo de Personas 3D</t>
  </si>
  <si>
    <t>Irina Y.</t>
  </si>
  <si>
    <t>Desc.</t>
  </si>
  <si>
    <t xml:space="preserve">Descuento </t>
  </si>
  <si>
    <t>SCP-I</t>
  </si>
  <si>
    <t>SCP-V</t>
  </si>
  <si>
    <t>SCP-3DX</t>
  </si>
  <si>
    <t>Cableado de red</t>
  </si>
  <si>
    <t>SCP-N</t>
  </si>
  <si>
    <t>Serv</t>
  </si>
  <si>
    <t>Moneda</t>
  </si>
  <si>
    <t>MX/USD</t>
  </si>
  <si>
    <t>Moneda nacional /USD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</si>
</sst>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&quot;$&quot;#,##0.00"/>
    <numFmt numFmtId="165" formatCode="#,##0\ _p_t_a"/>
    <numFmt numFmtId="166" formatCode="[$$-409]#,##0.00_);\([$$-409]#,##0.00\)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36"/>
      <color indexed="9"/>
      <name val="Arial"/>
      <family val="2"/>
    </font>
    <font>
      <b/>
      <sz val="10"/>
      <name val="Century Gothic"/>
      <family val="2"/>
    </font>
    <font>
      <sz val="8"/>
      <name val="Century Gothic"/>
      <family val="2"/>
    </font>
    <font>
      <sz val="20"/>
      <name val="Arial"/>
      <family val="2"/>
    </font>
    <font>
      <b/>
      <sz val="14"/>
      <name val="Century Gothic"/>
      <family val="2"/>
    </font>
    <font>
      <b/>
      <sz val="14"/>
      <name val="Arial"/>
      <family val="2"/>
    </font>
    <font>
      <sz val="8"/>
      <name val="Arial"/>
      <family val="2"/>
    </font>
    <font>
      <sz val="10"/>
      <color indexed="9"/>
      <name val="Arial"/>
      <family val="2"/>
    </font>
    <font>
      <b/>
      <i/>
      <sz val="8"/>
      <name val="MS Sans Serif"/>
      <family val="2"/>
    </font>
    <font>
      <b/>
      <sz val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name val="Century Gothic"/>
      <family val="2"/>
    </font>
    <font>
      <sz val="11"/>
      <name val="Century Gothic"/>
      <family val="2"/>
    </font>
    <font>
      <sz val="10"/>
      <name val="Century Gothic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indexed="9"/>
      <name val="Century Gothic"/>
      <family val="2"/>
    </font>
    <font>
      <b/>
      <sz val="10"/>
      <color indexed="9"/>
      <name val="Century Gothic"/>
      <family val="2"/>
    </font>
    <font>
      <sz val="11"/>
      <color indexed="9"/>
      <name val="Century Gothic"/>
      <family val="2"/>
    </font>
    <font>
      <b/>
      <sz val="12"/>
      <color indexed="8"/>
      <name val="Arial"/>
      <family val="2"/>
    </font>
    <font>
      <b/>
      <sz val="12"/>
      <name val="Arial"/>
      <family val="2"/>
    </font>
    <font>
      <sz val="12"/>
      <color indexed="8"/>
      <name val="Arial"/>
      <family val="2"/>
    </font>
    <font>
      <b/>
      <i/>
      <u/>
      <sz val="12"/>
      <name val="Arial"/>
      <family val="2"/>
    </font>
    <font>
      <b/>
      <i/>
      <u/>
      <sz val="10"/>
      <name val="Arial"/>
      <family val="2"/>
    </font>
    <font>
      <sz val="12"/>
      <name val="Century Gothic"/>
      <family val="2"/>
    </font>
    <font>
      <b/>
      <sz val="12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1869B"/>
        <bgColor indexed="64"/>
      </patternFill>
    </fill>
  </fills>
  <borders count="29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2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/>
    <xf numFmtId="0" fontId="9" fillId="0" borderId="0" xfId="0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0" fillId="0" borderId="0" xfId="0" applyAlignment="1">
      <alignment horizontal="left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horizontal="left"/>
    </xf>
    <xf numFmtId="0" fontId="16" fillId="0" borderId="0" xfId="0" applyFont="1"/>
    <xf numFmtId="0" fontId="17" fillId="0" borderId="0" xfId="0" applyFont="1"/>
    <xf numFmtId="0" fontId="5" fillId="0" borderId="1" xfId="0" applyFont="1" applyBorder="1"/>
    <xf numFmtId="0" fontId="18" fillId="0" borderId="2" xfId="0" applyFont="1" applyBorder="1" applyAlignment="1">
      <alignment horizontal="left"/>
    </xf>
    <xf numFmtId="0" fontId="18" fillId="0" borderId="3" xfId="0" applyFont="1" applyBorder="1"/>
    <xf numFmtId="1" fontId="19" fillId="0" borderId="0" xfId="0" applyNumberFormat="1" applyFont="1" applyAlignment="1">
      <alignment horizontal="right"/>
    </xf>
    <xf numFmtId="0" fontId="14" fillId="0" borderId="5" xfId="0" applyFont="1" applyBorder="1" applyAlignment="1">
      <alignment horizontal="left"/>
    </xf>
    <xf numFmtId="0" fontId="20" fillId="0" borderId="5" xfId="0" applyFont="1" applyBorder="1" applyAlignment="1">
      <alignment horizontal="left"/>
    </xf>
    <xf numFmtId="0" fontId="14" fillId="0" borderId="6" xfId="0" applyFont="1" applyBorder="1"/>
    <xf numFmtId="0" fontId="16" fillId="0" borderId="5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16" fillId="0" borderId="6" xfId="0" applyFont="1" applyBorder="1"/>
    <xf numFmtId="0" fontId="5" fillId="0" borderId="7" xfId="0" applyFont="1" applyBorder="1"/>
    <xf numFmtId="49" fontId="18" fillId="0" borderId="0" xfId="0" applyNumberFormat="1" applyFont="1" applyAlignment="1">
      <alignment horizontal="left"/>
    </xf>
    <xf numFmtId="0" fontId="18" fillId="0" borderId="8" xfId="0" applyFont="1" applyBorder="1"/>
    <xf numFmtId="0" fontId="21" fillId="0" borderId="0" xfId="0" applyFont="1"/>
    <xf numFmtId="0" fontId="14" fillId="0" borderId="10" xfId="0" applyFont="1" applyBorder="1"/>
    <xf numFmtId="0" fontId="16" fillId="0" borderId="0" xfId="0" applyFont="1" applyAlignment="1">
      <alignment horizontal="left"/>
    </xf>
    <xf numFmtId="0" fontId="16" fillId="0" borderId="10" xfId="0" applyFont="1" applyBorder="1"/>
    <xf numFmtId="0" fontId="5" fillId="0" borderId="11" xfId="0" applyFont="1" applyBorder="1"/>
    <xf numFmtId="0" fontId="18" fillId="0" borderId="12" xfId="0" applyFont="1" applyBorder="1" applyAlignment="1">
      <alignment horizontal="right"/>
    </xf>
    <xf numFmtId="0" fontId="17" fillId="0" borderId="13" xfId="0" applyFont="1" applyBorder="1"/>
    <xf numFmtId="15" fontId="0" fillId="0" borderId="0" xfId="0" applyNumberFormat="1"/>
    <xf numFmtId="0" fontId="17" fillId="0" borderId="0" xfId="0" applyFont="1" applyAlignment="1">
      <alignment horizontal="left"/>
    </xf>
    <xf numFmtId="0" fontId="17" fillId="0" borderId="10" xfId="0" applyFont="1" applyBorder="1"/>
    <xf numFmtId="49" fontId="14" fillId="0" borderId="0" xfId="0" applyNumberFormat="1" applyFont="1" applyAlignment="1">
      <alignment horizontal="left"/>
    </xf>
    <xf numFmtId="0" fontId="0" fillId="0" borderId="0" xfId="0" applyAlignment="1">
      <alignment horizontal="right"/>
    </xf>
    <xf numFmtId="0" fontId="17" fillId="0" borderId="0" xfId="0" applyFont="1" applyAlignment="1">
      <alignment horizontal="right"/>
    </xf>
    <xf numFmtId="15" fontId="16" fillId="0" borderId="0" xfId="0" applyNumberFormat="1" applyFont="1" applyAlignment="1">
      <alignment horizontal="left"/>
    </xf>
    <xf numFmtId="15" fontId="16" fillId="0" borderId="0" xfId="0" applyNumberFormat="1" applyFont="1"/>
    <xf numFmtId="0" fontId="14" fillId="0" borderId="14" xfId="0" applyFont="1" applyBorder="1"/>
    <xf numFmtId="0" fontId="14" fillId="0" borderId="15" xfId="0" applyFont="1" applyBorder="1"/>
    <xf numFmtId="0" fontId="3" fillId="0" borderId="15" xfId="3" applyBorder="1" applyAlignment="1" applyProtection="1">
      <alignment horizontal="right"/>
    </xf>
    <xf numFmtId="0" fontId="14" fillId="0" borderId="16" xfId="0" applyFont="1" applyBorder="1" applyAlignment="1">
      <alignment horizontal="right"/>
    </xf>
    <xf numFmtId="0" fontId="17" fillId="0" borderId="15" xfId="0" applyFont="1" applyBorder="1"/>
    <xf numFmtId="0" fontId="17" fillId="0" borderId="15" xfId="0" applyFont="1" applyBorder="1" applyAlignment="1">
      <alignment horizontal="left"/>
    </xf>
    <xf numFmtId="0" fontId="17" fillId="0" borderId="16" xfId="0" applyFont="1" applyBorder="1"/>
    <xf numFmtId="0" fontId="16" fillId="0" borderId="24" xfId="0" applyFont="1" applyBorder="1" applyAlignment="1">
      <alignment horizontal="center"/>
    </xf>
    <xf numFmtId="164" fontId="21" fillId="2" borderId="9" xfId="1" applyNumberFormat="1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164" fontId="17" fillId="2" borderId="10" xfId="1" applyNumberFormat="1" applyFont="1" applyFill="1" applyBorder="1" applyAlignment="1">
      <alignment vertical="top"/>
    </xf>
    <xf numFmtId="165" fontId="17" fillId="2" borderId="10" xfId="1" applyNumberFormat="1" applyFont="1" applyFill="1" applyBorder="1" applyAlignment="1">
      <alignment vertical="top"/>
    </xf>
    <xf numFmtId="164" fontId="21" fillId="2" borderId="10" xfId="1" applyNumberFormat="1" applyFont="1" applyFill="1" applyBorder="1" applyAlignment="1">
      <alignment vertical="center"/>
    </xf>
    <xf numFmtId="0" fontId="19" fillId="0" borderId="24" xfId="0" applyFont="1" applyBorder="1" applyAlignment="1">
      <alignment horizontal="center" vertical="top"/>
    </xf>
    <xf numFmtId="164" fontId="19" fillId="2" borderId="9" xfId="1" applyNumberFormat="1" applyFont="1" applyFill="1" applyBorder="1" applyAlignment="1">
      <alignment vertical="center"/>
    </xf>
    <xf numFmtId="164" fontId="19" fillId="2" borderId="10" xfId="1" applyNumberFormat="1" applyFont="1" applyFill="1" applyBorder="1" applyAlignment="1">
      <alignment vertical="top"/>
    </xf>
    <xf numFmtId="165" fontId="19" fillId="2" borderId="10" xfId="1" applyNumberFormat="1" applyFont="1" applyFill="1" applyBorder="1" applyAlignment="1">
      <alignment vertical="center"/>
    </xf>
    <xf numFmtId="164" fontId="19" fillId="2" borderId="9" xfId="1" applyNumberFormat="1" applyFont="1" applyFill="1" applyBorder="1" applyAlignment="1">
      <alignment vertical="top"/>
    </xf>
    <xf numFmtId="0" fontId="0" fillId="0" borderId="0" xfId="0" applyAlignment="1">
      <alignment vertical="top"/>
    </xf>
    <xf numFmtId="164" fontId="26" fillId="2" borderId="9" xfId="1" applyNumberFormat="1" applyFont="1" applyFill="1" applyBorder="1" applyAlignment="1">
      <alignment vertical="center"/>
    </xf>
    <xf numFmtId="164" fontId="26" fillId="2" borderId="10" xfId="1" applyNumberFormat="1" applyFont="1" applyFill="1" applyBorder="1" applyAlignment="1">
      <alignment vertical="center"/>
    </xf>
    <xf numFmtId="165" fontId="26" fillId="2" borderId="10" xfId="1" applyNumberFormat="1" applyFont="1" applyFill="1" applyBorder="1" applyAlignment="1">
      <alignment vertical="center"/>
    </xf>
    <xf numFmtId="0" fontId="19" fillId="4" borderId="24" xfId="0" applyFont="1" applyFill="1" applyBorder="1" applyAlignment="1">
      <alignment horizontal="center" vertical="center"/>
    </xf>
    <xf numFmtId="164" fontId="19" fillId="2" borderId="10" xfId="1" applyNumberFormat="1" applyFont="1" applyFill="1" applyBorder="1" applyAlignment="1">
      <alignment vertical="center"/>
    </xf>
    <xf numFmtId="164" fontId="19" fillId="2" borderId="10" xfId="1" applyNumberFormat="1" applyFont="1" applyFill="1" applyBorder="1" applyAlignment="1">
      <alignment horizontal="right" vertical="center"/>
    </xf>
    <xf numFmtId="164" fontId="19" fillId="2" borderId="24" xfId="1" applyNumberFormat="1" applyFont="1" applyFill="1" applyBorder="1" applyAlignment="1">
      <alignment vertical="center"/>
    </xf>
    <xf numFmtId="164" fontId="16" fillId="2" borderId="10" xfId="1" applyNumberFormat="1" applyFont="1" applyFill="1" applyBorder="1" applyAlignment="1">
      <alignment vertical="top"/>
    </xf>
    <xf numFmtId="0" fontId="19" fillId="0" borderId="24" xfId="0" applyFont="1" applyBorder="1" applyAlignment="1">
      <alignment horizontal="center" vertical="center"/>
    </xf>
    <xf numFmtId="164" fontId="17" fillId="2" borderId="9" xfId="1" applyNumberFormat="1" applyFont="1" applyFill="1" applyBorder="1" applyAlignment="1">
      <alignment vertical="top"/>
    </xf>
    <xf numFmtId="0" fontId="17" fillId="0" borderId="24" xfId="0" applyFont="1" applyBorder="1" applyAlignment="1">
      <alignment horizontal="center"/>
    </xf>
    <xf numFmtId="0" fontId="18" fillId="3" borderId="9" xfId="0" applyFont="1" applyFill="1" applyBorder="1" applyAlignment="1">
      <alignment vertical="center"/>
    </xf>
    <xf numFmtId="0" fontId="21" fillId="3" borderId="0" xfId="0" applyFont="1" applyFill="1" applyAlignment="1">
      <alignment vertical="center"/>
    </xf>
    <xf numFmtId="0" fontId="21" fillId="3" borderId="10" xfId="0" applyFont="1" applyFill="1" applyBorder="1" applyAlignment="1">
      <alignment vertical="center"/>
    </xf>
    <xf numFmtId="9" fontId="30" fillId="2" borderId="10" xfId="2" applyFont="1" applyFill="1" applyBorder="1" applyAlignment="1">
      <alignment vertical="top"/>
    </xf>
    <xf numFmtId="10" fontId="17" fillId="2" borderId="10" xfId="1" applyNumberFormat="1" applyFont="1" applyFill="1" applyBorder="1" applyAlignment="1">
      <alignment vertical="top"/>
    </xf>
    <xf numFmtId="164" fontId="17" fillId="2" borderId="10" xfId="1" applyNumberFormat="1" applyFont="1" applyFill="1" applyBorder="1" applyAlignment="1">
      <alignment vertical="center"/>
    </xf>
    <xf numFmtId="0" fontId="18" fillId="3" borderId="14" xfId="0" applyFont="1" applyFill="1" applyBorder="1" applyAlignment="1">
      <alignment vertical="center"/>
    </xf>
    <xf numFmtId="0" fontId="21" fillId="3" borderId="15" xfId="0" applyFont="1" applyFill="1" applyBorder="1" applyAlignment="1">
      <alignment vertical="center"/>
    </xf>
    <xf numFmtId="0" fontId="21" fillId="3" borderId="16" xfId="0" applyFont="1" applyFill="1" applyBorder="1" applyAlignment="1">
      <alignment vertical="center"/>
    </xf>
    <xf numFmtId="0" fontId="17" fillId="0" borderId="16" xfId="0" applyFont="1" applyBorder="1" applyAlignment="1">
      <alignment horizontal="center"/>
    </xf>
    <xf numFmtId="164" fontId="17" fillId="2" borderId="25" xfId="1" applyNumberFormat="1" applyFont="1" applyFill="1" applyBorder="1" applyAlignment="1">
      <alignment vertical="top"/>
    </xf>
    <xf numFmtId="164" fontId="21" fillId="2" borderId="14" xfId="1" applyNumberFormat="1" applyFont="1" applyFill="1" applyBorder="1" applyAlignment="1">
      <alignment vertical="center"/>
    </xf>
    <xf numFmtId="164" fontId="17" fillId="2" borderId="16" xfId="1" applyNumberFormat="1" applyFont="1" applyFill="1" applyBorder="1" applyAlignment="1">
      <alignment vertical="center"/>
    </xf>
    <xf numFmtId="166" fontId="17" fillId="0" borderId="15" xfId="1" applyNumberFormat="1" applyFont="1" applyBorder="1" applyAlignment="1">
      <alignment horizontal="right"/>
    </xf>
    <xf numFmtId="166" fontId="17" fillId="0" borderId="16" xfId="1" applyNumberFormat="1" applyFont="1" applyBorder="1" applyAlignment="1">
      <alignment horizontal="center"/>
    </xf>
    <xf numFmtId="0" fontId="26" fillId="3" borderId="0" xfId="0" applyFont="1" applyFill="1" applyAlignment="1">
      <alignment vertical="center"/>
    </xf>
    <xf numFmtId="164" fontId="31" fillId="0" borderId="26" xfId="0" applyNumberFormat="1" applyFont="1" applyBorder="1" applyAlignment="1">
      <alignment horizontal="right"/>
    </xf>
    <xf numFmtId="0" fontId="26" fillId="0" borderId="27" xfId="0" applyFont="1" applyBorder="1" applyAlignment="1">
      <alignment horizontal="center"/>
    </xf>
    <xf numFmtId="0" fontId="19" fillId="0" borderId="15" xfId="0" applyFont="1" applyBorder="1" applyAlignment="1">
      <alignment horizontal="center" vertical="center"/>
    </xf>
    <xf numFmtId="164" fontId="19" fillId="2" borderId="15" xfId="1" applyNumberFormat="1" applyFont="1" applyFill="1" applyBorder="1" applyAlignment="1">
      <alignment vertical="center"/>
    </xf>
    <xf numFmtId="165" fontId="19" fillId="2" borderId="15" xfId="1" applyNumberFormat="1" applyFont="1" applyFill="1" applyBorder="1" applyAlignment="1">
      <alignment vertical="center"/>
    </xf>
    <xf numFmtId="164" fontId="19" fillId="2" borderId="15" xfId="1" applyNumberFormat="1" applyFont="1" applyFill="1" applyBorder="1" applyAlignment="1">
      <alignment horizontal="right" vertical="center"/>
    </xf>
    <xf numFmtId="164" fontId="17" fillId="2" borderId="15" xfId="1" applyNumberFormat="1" applyFont="1" applyFill="1" applyBorder="1" applyAlignment="1">
      <alignment vertical="top"/>
    </xf>
    <xf numFmtId="0" fontId="26" fillId="0" borderId="28" xfId="0" applyFont="1" applyBorder="1" applyAlignment="1">
      <alignment horizontal="center" vertical="center"/>
    </xf>
    <xf numFmtId="164" fontId="21" fillId="2" borderId="28" xfId="1" applyNumberFormat="1" applyFont="1" applyFill="1" applyBorder="1" applyAlignment="1">
      <alignment vertical="center"/>
    </xf>
    <xf numFmtId="164" fontId="17" fillId="2" borderId="28" xfId="1" applyNumberFormat="1" applyFont="1" applyFill="1" applyBorder="1" applyAlignment="1">
      <alignment vertical="top"/>
    </xf>
    <xf numFmtId="165" fontId="19" fillId="2" borderId="28" xfId="1" applyNumberFormat="1" applyFont="1" applyFill="1" applyBorder="1" applyAlignment="1">
      <alignment vertical="center"/>
    </xf>
    <xf numFmtId="164" fontId="21" fillId="2" borderId="4" xfId="1" applyNumberFormat="1" applyFont="1" applyFill="1" applyBorder="1" applyAlignment="1">
      <alignment vertical="center"/>
    </xf>
    <xf numFmtId="164" fontId="19" fillId="2" borderId="6" xfId="1" applyNumberFormat="1" applyFont="1" applyFill="1" applyBorder="1" applyAlignment="1">
      <alignment horizontal="right" vertical="center"/>
    </xf>
    <xf numFmtId="164" fontId="17" fillId="2" borderId="4" xfId="1" applyNumberFormat="1" applyFont="1" applyFill="1" applyBorder="1" applyAlignment="1">
      <alignment vertical="top"/>
    </xf>
    <xf numFmtId="164" fontId="17" fillId="2" borderId="6" xfId="1" applyNumberFormat="1" applyFont="1" applyFill="1" applyBorder="1" applyAlignment="1">
      <alignment vertical="top"/>
    </xf>
    <xf numFmtId="165" fontId="19" fillId="2" borderId="24" xfId="1" applyNumberFormat="1" applyFont="1" applyFill="1" applyBorder="1" applyAlignment="1">
      <alignment vertical="center"/>
    </xf>
    <xf numFmtId="164" fontId="21" fillId="2" borderId="24" xfId="1" applyNumberFormat="1" applyFont="1" applyFill="1" applyBorder="1" applyAlignment="1">
      <alignment vertical="center"/>
    </xf>
    <xf numFmtId="164" fontId="17" fillId="2" borderId="24" xfId="1" applyNumberFormat="1" applyFont="1" applyFill="1" applyBorder="1" applyAlignment="1">
      <alignment vertical="top"/>
    </xf>
    <xf numFmtId="0" fontId="19" fillId="0" borderId="25" xfId="0" applyFont="1" applyBorder="1" applyAlignment="1">
      <alignment horizontal="center" vertical="center"/>
    </xf>
    <xf numFmtId="164" fontId="19" fillId="2" borderId="25" xfId="1" applyNumberFormat="1" applyFont="1" applyFill="1" applyBorder="1" applyAlignment="1">
      <alignment vertical="center"/>
    </xf>
    <xf numFmtId="165" fontId="19" fillId="2" borderId="25" xfId="1" applyNumberFormat="1" applyFont="1" applyFill="1" applyBorder="1" applyAlignment="1">
      <alignment vertical="center"/>
    </xf>
    <xf numFmtId="164" fontId="19" fillId="2" borderId="14" xfId="1" applyNumberFormat="1" applyFont="1" applyFill="1" applyBorder="1" applyAlignment="1">
      <alignment vertical="center"/>
    </xf>
    <xf numFmtId="164" fontId="19" fillId="2" borderId="16" xfId="1" applyNumberFormat="1" applyFont="1" applyFill="1" applyBorder="1" applyAlignment="1">
      <alignment horizontal="right" vertical="center"/>
    </xf>
    <xf numFmtId="164" fontId="17" fillId="2" borderId="16" xfId="1" applyNumberFormat="1" applyFont="1" applyFill="1" applyBorder="1" applyAlignment="1">
      <alignment vertical="top"/>
    </xf>
    <xf numFmtId="0" fontId="5" fillId="0" borderId="25" xfId="0" applyFont="1" applyBorder="1"/>
    <xf numFmtId="0" fontId="18" fillId="0" borderId="25" xfId="0" applyFont="1" applyBorder="1"/>
    <xf numFmtId="0" fontId="5" fillId="0" borderId="14" xfId="0" applyFont="1" applyBorder="1" applyAlignment="1">
      <alignment horizontal="center"/>
    </xf>
    <xf numFmtId="0" fontId="0" fillId="0" borderId="15" xfId="0" applyBorder="1"/>
    <xf numFmtId="0" fontId="5" fillId="0" borderId="15" xfId="0" applyFont="1" applyBorder="1"/>
    <xf numFmtId="0" fontId="18" fillId="0" borderId="15" xfId="0" applyFont="1" applyBorder="1"/>
    <xf numFmtId="0" fontId="5" fillId="0" borderId="15" xfId="0" applyFont="1" applyBorder="1" applyAlignment="1">
      <alignment horizontal="center"/>
    </xf>
    <xf numFmtId="0" fontId="18" fillId="0" borderId="28" xfId="0" applyFont="1" applyBorder="1"/>
    <xf numFmtId="0" fontId="18" fillId="0" borderId="24" xfId="0" applyFont="1" applyBorder="1"/>
    <xf numFmtId="0" fontId="22" fillId="5" borderId="17" xfId="0" applyFont="1" applyFill="1" applyBorder="1" applyAlignment="1">
      <alignment horizontal="center"/>
    </xf>
    <xf numFmtId="0" fontId="23" fillId="5" borderId="17" xfId="0" applyFont="1" applyFill="1" applyBorder="1" applyAlignment="1">
      <alignment horizontal="center"/>
    </xf>
    <xf numFmtId="0" fontId="22" fillId="5" borderId="18" xfId="0" applyFont="1" applyFill="1" applyBorder="1" applyAlignment="1">
      <alignment horizontal="centerContinuous"/>
    </xf>
    <xf numFmtId="0" fontId="24" fillId="5" borderId="19" xfId="0" applyFont="1" applyFill="1" applyBorder="1" applyAlignment="1">
      <alignment horizontal="centerContinuous"/>
    </xf>
    <xf numFmtId="0" fontId="22" fillId="5" borderId="19" xfId="0" applyFont="1" applyFill="1" applyBorder="1" applyAlignment="1">
      <alignment horizontal="centerContinuous"/>
    </xf>
    <xf numFmtId="0" fontId="22" fillId="5" borderId="20" xfId="0" applyFont="1" applyFill="1" applyBorder="1" applyAlignment="1">
      <alignment horizontal="center"/>
    </xf>
    <xf numFmtId="0" fontId="22" fillId="5" borderId="21" xfId="0" applyFont="1" applyFill="1" applyBorder="1" applyAlignment="1">
      <alignment horizontal="center"/>
    </xf>
    <xf numFmtId="0" fontId="22" fillId="5" borderId="22" xfId="0" applyFont="1" applyFill="1" applyBorder="1" applyAlignment="1">
      <alignment horizontal="center"/>
    </xf>
    <xf numFmtId="164" fontId="16" fillId="2" borderId="10" xfId="1" applyNumberFormat="1" applyFont="1" applyFill="1" applyBorder="1" applyAlignment="1">
      <alignment vertical="center"/>
    </xf>
    <xf numFmtId="0" fontId="26" fillId="4" borderId="24" xfId="0" applyFont="1" applyFill="1" applyBorder="1" applyAlignment="1">
      <alignment horizontal="center"/>
    </xf>
    <xf numFmtId="164" fontId="26" fillId="2" borderId="9" xfId="1" applyNumberFormat="1" applyFont="1" applyFill="1" applyBorder="1" applyAlignment="1"/>
    <xf numFmtId="164" fontId="26" fillId="2" borderId="10" xfId="1" applyNumberFormat="1" applyFont="1" applyFill="1" applyBorder="1" applyAlignment="1"/>
    <xf numFmtId="165" fontId="26" fillId="2" borderId="10" xfId="1" applyNumberFormat="1" applyFont="1" applyFill="1" applyBorder="1" applyAlignment="1"/>
    <xf numFmtId="164" fontId="26" fillId="2" borderId="10" xfId="1" applyNumberFormat="1" applyFont="1" applyFill="1" applyBorder="1" applyAlignment="1">
      <alignment horizontal="right"/>
    </xf>
    <xf numFmtId="0" fontId="21" fillId="0" borderId="0" xfId="0" applyFont="1" applyAlignment="1">
      <alignment vertical="center"/>
    </xf>
    <xf numFmtId="0" fontId="14" fillId="0" borderId="0" xfId="0" applyFont="1" applyAlignment="1">
      <alignment horizontal="left"/>
    </xf>
    <xf numFmtId="0" fontId="14" fillId="0" borderId="10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14" fillId="0" borderId="4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4" fillId="0" borderId="9" xfId="0" applyFont="1" applyBorder="1" applyAlignment="1">
      <alignment horizontal="left"/>
    </xf>
    <xf numFmtId="49" fontId="3" fillId="0" borderId="0" xfId="3" applyNumberFormat="1" applyBorder="1" applyAlignment="1" applyProtection="1">
      <alignment horizontal="left"/>
    </xf>
    <xf numFmtId="0" fontId="21" fillId="0" borderId="0" xfId="0" applyFont="1"/>
    <xf numFmtId="49" fontId="14" fillId="0" borderId="0" xfId="0" applyNumberFormat="1" applyFont="1" applyAlignment="1">
      <alignment horizontal="left" vertical="top" wrapText="1"/>
    </xf>
    <xf numFmtId="49" fontId="14" fillId="0" borderId="0" xfId="0" applyNumberFormat="1" applyFont="1" applyAlignment="1">
      <alignment horizontal="left"/>
    </xf>
    <xf numFmtId="0" fontId="19" fillId="3" borderId="9" xfId="0" applyFont="1" applyFill="1" applyBorder="1" applyAlignment="1">
      <alignment vertical="center" wrapText="1"/>
    </xf>
    <xf numFmtId="0" fontId="19" fillId="0" borderId="0" xfId="0" applyFont="1" applyAlignment="1">
      <alignment vertical="center"/>
    </xf>
    <xf numFmtId="0" fontId="19" fillId="0" borderId="10" xfId="0" applyFont="1" applyBorder="1" applyAlignment="1">
      <alignment vertical="center"/>
    </xf>
    <xf numFmtId="0" fontId="20" fillId="0" borderId="0" xfId="0" applyFont="1" applyAlignment="1">
      <alignment horizontal="left"/>
    </xf>
    <xf numFmtId="0" fontId="22" fillId="5" borderId="17" xfId="0" applyFont="1" applyFill="1" applyBorder="1" applyAlignment="1">
      <alignment horizontal="right"/>
    </xf>
    <xf numFmtId="0" fontId="22" fillId="5" borderId="21" xfId="0" applyFont="1" applyFill="1" applyBorder="1" applyAlignment="1">
      <alignment horizontal="right"/>
    </xf>
    <xf numFmtId="0" fontId="22" fillId="5" borderId="17" xfId="0" applyFont="1" applyFill="1" applyBorder="1" applyAlignment="1">
      <alignment horizontal="center"/>
    </xf>
    <xf numFmtId="0" fontId="22" fillId="5" borderId="23" xfId="0" applyFont="1" applyFill="1" applyBorder="1" applyAlignment="1">
      <alignment horizontal="center"/>
    </xf>
    <xf numFmtId="0" fontId="25" fillId="3" borderId="9" xfId="0" applyFont="1" applyFill="1" applyBorder="1" applyAlignment="1">
      <alignment vertical="top" wrapText="1"/>
    </xf>
    <xf numFmtId="0" fontId="25" fillId="3" borderId="0" xfId="0" applyFont="1" applyFill="1" applyAlignment="1">
      <alignment vertical="top" wrapText="1"/>
    </xf>
    <xf numFmtId="0" fontId="25" fillId="3" borderId="10" xfId="0" applyFont="1" applyFill="1" applyBorder="1" applyAlignment="1">
      <alignment vertical="top" wrapText="1"/>
    </xf>
    <xf numFmtId="0" fontId="26" fillId="3" borderId="9" xfId="0" applyFont="1" applyFill="1" applyBorder="1" applyAlignment="1">
      <alignment wrapText="1"/>
    </xf>
    <xf numFmtId="0" fontId="26" fillId="0" borderId="0" xfId="0" applyFont="1"/>
    <xf numFmtId="0" fontId="26" fillId="0" borderId="10" xfId="0" applyFont="1" applyBorder="1"/>
    <xf numFmtId="0" fontId="19" fillId="3" borderId="9" xfId="0" applyFont="1" applyFill="1" applyBorder="1" applyAlignment="1">
      <alignment vertical="top" wrapText="1"/>
    </xf>
    <xf numFmtId="0" fontId="19" fillId="0" borderId="0" xfId="0" applyFont="1" applyAlignment="1">
      <alignment vertical="top" wrapText="1"/>
    </xf>
    <xf numFmtId="0" fontId="19" fillId="0" borderId="10" xfId="0" applyFont="1" applyBorder="1" applyAlignment="1">
      <alignment vertical="top" wrapText="1"/>
    </xf>
    <xf numFmtId="0" fontId="0" fillId="0" borderId="0" xfId="0" applyAlignment="1">
      <alignment vertical="center"/>
    </xf>
    <xf numFmtId="0" fontId="0" fillId="0" borderId="10" xfId="0" applyBorder="1" applyAlignment="1">
      <alignment vertical="center"/>
    </xf>
    <xf numFmtId="0" fontId="21" fillId="0" borderId="0" xfId="0" applyFont="1" applyAlignment="1">
      <alignment vertical="center"/>
    </xf>
    <xf numFmtId="0" fontId="21" fillId="0" borderId="10" xfId="0" applyFont="1" applyBorder="1" applyAlignment="1">
      <alignment vertical="center"/>
    </xf>
    <xf numFmtId="0" fontId="19" fillId="3" borderId="25" xfId="0" applyFont="1" applyFill="1" applyBorder="1" applyAlignment="1">
      <alignment vertical="center" wrapText="1"/>
    </xf>
    <xf numFmtId="0" fontId="0" fillId="0" borderId="25" xfId="0" applyBorder="1" applyAlignment="1">
      <alignment vertical="center"/>
    </xf>
    <xf numFmtId="0" fontId="28" fillId="3" borderId="9" xfId="0" applyFont="1" applyFill="1" applyBorder="1" applyAlignment="1">
      <alignment vertical="center" wrapText="1"/>
    </xf>
    <xf numFmtId="0" fontId="29" fillId="0" borderId="0" xfId="0" applyFont="1" applyAlignment="1">
      <alignment vertical="center"/>
    </xf>
    <xf numFmtId="0" fontId="29" fillId="0" borderId="10" xfId="0" applyFont="1" applyBorder="1" applyAlignment="1">
      <alignment vertical="center"/>
    </xf>
    <xf numFmtId="0" fontId="5" fillId="3" borderId="9" xfId="0" applyFont="1" applyFill="1" applyBorder="1" applyAlignment="1">
      <alignment horizontal="right" vertical="center"/>
    </xf>
    <xf numFmtId="0" fontId="5" fillId="3" borderId="0" xfId="0" applyFont="1" applyFill="1" applyAlignment="1">
      <alignment horizontal="right" vertical="center"/>
    </xf>
    <xf numFmtId="0" fontId="5" fillId="3" borderId="10" xfId="0" applyFont="1" applyFill="1" applyBorder="1" applyAlignment="1">
      <alignment horizontal="right" vertical="center"/>
    </xf>
    <xf numFmtId="0" fontId="26" fillId="3" borderId="15" xfId="0" applyFont="1" applyFill="1" applyBorder="1" applyAlignment="1">
      <alignment vertical="center" wrapText="1"/>
    </xf>
    <xf numFmtId="0" fontId="2" fillId="0" borderId="15" xfId="0" applyFont="1" applyBorder="1" applyAlignment="1">
      <alignment vertical="center"/>
    </xf>
    <xf numFmtId="0" fontId="26" fillId="3" borderId="28" xfId="0" applyFont="1" applyFill="1" applyBorder="1" applyAlignment="1">
      <alignment vertical="center" wrapText="1"/>
    </xf>
    <xf numFmtId="0" fontId="20" fillId="0" borderId="28" xfId="0" applyFont="1" applyBorder="1" applyAlignment="1">
      <alignment vertical="center"/>
    </xf>
    <xf numFmtId="0" fontId="0" fillId="0" borderId="0" xfId="0" applyAlignment="1">
      <alignment vertical="top"/>
    </xf>
    <xf numFmtId="0" fontId="0" fillId="0" borderId="10" xfId="0" applyBorder="1" applyAlignment="1">
      <alignment vertical="top"/>
    </xf>
    <xf numFmtId="0" fontId="26" fillId="3" borderId="9" xfId="0" applyFont="1" applyFill="1" applyBorder="1" applyAlignment="1">
      <alignment horizontal="center" vertical="center" wrapText="1"/>
    </xf>
    <xf numFmtId="0" fontId="26" fillId="3" borderId="0" xfId="0" applyFont="1" applyFill="1" applyAlignment="1">
      <alignment horizontal="center" vertical="center" wrapText="1"/>
    </xf>
    <xf numFmtId="0" fontId="26" fillId="3" borderId="10" xfId="0" applyFont="1" applyFill="1" applyBorder="1" applyAlignment="1">
      <alignment horizontal="center" vertical="center" wrapText="1"/>
    </xf>
    <xf numFmtId="0" fontId="19" fillId="3" borderId="24" xfId="0" applyFont="1" applyFill="1" applyBorder="1" applyAlignment="1">
      <alignment vertical="center" wrapText="1"/>
    </xf>
    <xf numFmtId="0" fontId="0" fillId="0" borderId="24" xfId="0" applyBorder="1" applyAlignment="1">
      <alignment vertical="center"/>
    </xf>
    <xf numFmtId="0" fontId="31" fillId="0" borderId="16" xfId="0" applyFont="1" applyBorder="1" applyAlignment="1">
      <alignment horizontal="left"/>
    </xf>
    <xf numFmtId="0" fontId="31" fillId="0" borderId="25" xfId="0" applyFont="1" applyBorder="1" applyAlignment="1">
      <alignment horizontal="left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18" fillId="0" borderId="28" xfId="0" applyFont="1" applyBorder="1"/>
    <xf numFmtId="0" fontId="18" fillId="0" borderId="24" xfId="0" applyFont="1" applyBorder="1" applyAlignment="1">
      <alignment wrapText="1"/>
    </xf>
    <xf numFmtId="0" fontId="18" fillId="0" borderId="24" xfId="0" applyFont="1" applyBorder="1"/>
    <xf numFmtId="0" fontId="18" fillId="0" borderId="25" xfId="0" applyFont="1" applyBorder="1"/>
    <xf numFmtId="0" fontId="26" fillId="3" borderId="9" xfId="0" applyFont="1" applyFill="1" applyBorder="1" applyAlignment="1">
      <alignment vertical="center" wrapText="1"/>
    </xf>
    <xf numFmtId="0" fontId="19" fillId="0" borderId="0" xfId="0" applyFont="1" applyAlignment="1">
      <alignment horizontal="left"/>
    </xf>
    <xf numFmtId="0" fontId="3" fillId="0" borderId="15" xfId="3" applyBorder="1" applyAlignment="1" applyProtection="1">
      <alignment horizontal="left"/>
    </xf>
    <xf numFmtId="0" fontId="14" fillId="0" borderId="15" xfId="0" applyFont="1" applyBorder="1" applyAlignment="1">
      <alignment horizontal="left"/>
    </xf>
    <xf numFmtId="0" fontId="19" fillId="3" borderId="0" xfId="0" applyFont="1" applyFill="1" applyAlignment="1">
      <alignment vertical="center" wrapText="1"/>
    </xf>
    <xf numFmtId="0" fontId="19" fillId="3" borderId="10" xfId="0" applyFont="1" applyFill="1" applyBorder="1" applyAlignment="1">
      <alignment vertical="center" wrapText="1"/>
    </xf>
    <xf numFmtId="0" fontId="19" fillId="4" borderId="24" xfId="0" applyFont="1" applyFill="1" applyBorder="1" applyAlignment="1">
      <alignment horizontal="center"/>
    </xf>
    <xf numFmtId="0" fontId="27" fillId="3" borderId="9" xfId="0" applyFont="1" applyFill="1" applyBorder="1" applyAlignment="1">
      <alignment vertical="center" wrapText="1"/>
    </xf>
    <xf numFmtId="0" fontId="27" fillId="3" borderId="0" xfId="0" applyFont="1" applyFill="1" applyAlignment="1">
      <alignment vertical="center" wrapText="1"/>
    </xf>
    <xf numFmtId="0" fontId="27" fillId="3" borderId="10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9" fontId="26" fillId="2" borderId="10" xfId="2" applyFont="1" applyFill="1" applyBorder="1" applyAlignment="1">
      <alignment horizontal="right" vertical="center"/>
    </xf>
    <xf numFmtId="0" fontId="16" fillId="0" borderId="15" xfId="0" applyFont="1" applyBorder="1"/>
  </cellXfs>
  <cellStyles count="4">
    <cellStyle name="Hipervínculo" xfId="3" builtinId="8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3186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88900</xdr:colOff>
      <xdr:row>8</xdr:row>
      <xdr:rowOff>91441</xdr:rowOff>
    </xdr:from>
    <xdr:to>
      <xdr:col>13</xdr:col>
      <xdr:colOff>247650</xdr:colOff>
      <xdr:row>16</xdr:row>
      <xdr:rowOff>20321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9AE5640A-FED7-45F5-B92A-80866FFAED89}"/>
            </a:ext>
          </a:extLst>
        </xdr:cNvPr>
        <xdr:cNvSpPr txBox="1">
          <a:spLocks noChangeArrowheads="1"/>
        </xdr:cNvSpPr>
      </xdr:nvSpPr>
      <xdr:spPr bwMode="auto">
        <a:xfrm>
          <a:off x="8813800" y="1577341"/>
          <a:ext cx="2193290" cy="1468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41148" rIns="45720" bIns="0" anchor="t" upright="1"/>
        <a:lstStyle/>
        <a:p>
          <a:pPr algn="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Century Gothic"/>
            </a:rPr>
            <a:t>COTIZACIÓN </a:t>
          </a:r>
        </a:p>
        <a:p>
          <a:pPr algn="r" rtl="0">
            <a:defRPr sz="1000"/>
          </a:pPr>
          <a:r>
            <a:rPr lang="es-ES" sz="2200" b="1" i="0" strike="noStrike">
              <a:solidFill>
                <a:srgbClr val="000000"/>
              </a:solidFill>
              <a:latin typeface="Century Gothic"/>
            </a:rPr>
            <a:t>Teikit  elhuequito</a:t>
          </a:r>
        </a:p>
      </xdr:txBody>
    </xdr:sp>
    <xdr:clientData/>
  </xdr:twoCellAnchor>
  <xdr:twoCellAnchor>
    <xdr:from>
      <xdr:col>4</xdr:col>
      <xdr:colOff>0</xdr:colOff>
      <xdr:row>0</xdr:row>
      <xdr:rowOff>38100</xdr:rowOff>
    </xdr:from>
    <xdr:to>
      <xdr:col>9</xdr:col>
      <xdr:colOff>12700</xdr:colOff>
      <xdr:row>6</xdr:row>
      <xdr:rowOff>76200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3931FEFE-3C27-4BA4-850E-F7A4DA752C89}"/>
            </a:ext>
          </a:extLst>
        </xdr:cNvPr>
        <xdr:cNvSpPr txBox="1">
          <a:spLocks noChangeArrowheads="1"/>
        </xdr:cNvSpPr>
      </xdr:nvSpPr>
      <xdr:spPr bwMode="auto">
        <a:xfrm>
          <a:off x="3314700" y="38100"/>
          <a:ext cx="4211320" cy="124968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100" b="1" i="0" strike="noStrike">
              <a:solidFill>
                <a:srgbClr val="000000"/>
              </a:solidFill>
              <a:latin typeface="Century Gothic"/>
            </a:rPr>
            <a:t>Sistemas de  Conteo de Personas.</a:t>
          </a:r>
          <a:endParaRPr lang="es-ES" sz="1100" b="0" i="0" strike="noStrike">
            <a:solidFill>
              <a:srgbClr val="000000"/>
            </a:solidFill>
            <a:latin typeface="Century Gothic"/>
          </a:endParaRPr>
        </a:p>
        <a:p>
          <a:pPr algn="l" rtl="0">
            <a:defRPr sz="1000"/>
          </a:pPr>
          <a:r>
            <a:rPr lang="es-ES" sz="1100" b="0" i="0" strike="noStrike">
              <a:solidFill>
                <a:srgbClr val="000000"/>
              </a:solidFill>
              <a:latin typeface="Century Gothic"/>
            </a:rPr>
            <a:t>Blvd. Paseo de la República No. 13020 Int. 1307</a:t>
          </a:r>
          <a:endParaRPr lang="es-ES" sz="1100" b="0" i="0" strike="noStrike" baseline="0">
            <a:solidFill>
              <a:srgbClr val="000000"/>
            </a:solidFill>
            <a:latin typeface="Century Gothic"/>
          </a:endParaRPr>
        </a:p>
        <a:p>
          <a:pPr algn="l" rtl="0">
            <a:defRPr sz="1000"/>
          </a:pPr>
          <a:r>
            <a:rPr lang="es-ES" sz="1100" b="0" i="0" strike="noStrike" baseline="0">
              <a:solidFill>
                <a:srgbClr val="000000"/>
              </a:solidFill>
              <a:latin typeface="Century Gothic"/>
            </a:rPr>
            <a:t>Col. Juriquilla, Querétaro, Qro. C.P. </a:t>
          </a:r>
          <a:r>
            <a:rPr lang="es-ES" sz="1100" b="0" i="0" strike="noStrike">
              <a:solidFill>
                <a:srgbClr val="000000"/>
              </a:solidFill>
              <a:latin typeface="Century Gothic"/>
            </a:rPr>
            <a:t>76230</a:t>
          </a:r>
        </a:p>
        <a:p>
          <a:pPr algn="l" rtl="0">
            <a:defRPr sz="1000"/>
          </a:pPr>
          <a:r>
            <a:rPr lang="es-ES" sz="1100" b="0" i="0" strike="noStrike">
              <a:solidFill>
                <a:srgbClr val="000000"/>
              </a:solidFill>
              <a:latin typeface="Century Gothic"/>
            </a:rPr>
            <a:t>Tel: (442) 245</a:t>
          </a:r>
          <a:r>
            <a:rPr lang="es-ES" sz="1100" b="0" i="0" strike="noStrike" baseline="0">
              <a:solidFill>
                <a:srgbClr val="000000"/>
              </a:solidFill>
              <a:latin typeface="Century Gothic"/>
            </a:rPr>
            <a:t> 7000</a:t>
          </a:r>
          <a:endParaRPr lang="es-ES" sz="1100" b="0" i="0" strike="noStrike">
            <a:solidFill>
              <a:srgbClr val="000000"/>
            </a:solidFill>
            <a:latin typeface="Century Gothic"/>
          </a:endParaRPr>
        </a:p>
        <a:p>
          <a:pPr algn="l" rtl="0">
            <a:defRPr sz="1000"/>
          </a:pPr>
          <a:r>
            <a:rPr lang="es-ES" sz="1100" b="0" i="0" strike="noStrike">
              <a:solidFill>
                <a:srgbClr val="000000"/>
              </a:solidFill>
              <a:latin typeface="Century Gothic"/>
            </a:rPr>
            <a:t>RFC: SCP070410C43</a:t>
          </a:r>
        </a:p>
        <a:p>
          <a:pPr algn="l" rtl="0">
            <a:defRPr sz="1000"/>
          </a:pPr>
          <a:r>
            <a:rPr lang="es-ES" sz="1100" b="0" i="0" strike="noStrike">
              <a:solidFill>
                <a:srgbClr val="000000"/>
              </a:solidFill>
              <a:latin typeface="Century Gothic"/>
            </a:rPr>
            <a:t>e.mail: info@sisconper.com</a:t>
          </a:r>
        </a:p>
        <a:p>
          <a:pPr algn="l" rtl="0">
            <a:defRPr sz="1000"/>
          </a:pPr>
          <a:r>
            <a:rPr lang="es-ES" sz="1100" b="1" i="0" strike="noStrike">
              <a:solidFill>
                <a:srgbClr val="000000"/>
              </a:solidFill>
              <a:latin typeface="Century Gothic"/>
            </a:rPr>
            <a:t>www.sisconper.com</a:t>
          </a:r>
        </a:p>
      </xdr:txBody>
    </xdr:sp>
    <xdr:clientData/>
  </xdr:twoCellAnchor>
  <xdr:twoCellAnchor editAs="oneCell">
    <xdr:from>
      <xdr:col>11</xdr:col>
      <xdr:colOff>762000</xdr:colOff>
      <xdr:row>0</xdr:row>
      <xdr:rowOff>0</xdr:rowOff>
    </xdr:from>
    <xdr:to>
      <xdr:col>13</xdr:col>
      <xdr:colOff>228600</xdr:colOff>
      <xdr:row>7</xdr:row>
      <xdr:rowOff>63764</xdr:rowOff>
    </xdr:to>
    <xdr:pic>
      <xdr:nvPicPr>
        <xdr:cNvPr id="22" name="Picture 5">
          <a:extLst>
            <a:ext uri="{FF2B5EF4-FFF2-40B4-BE49-F238E27FC236}">
              <a16:creationId xmlns:a16="http://schemas.microsoft.com/office/drawing/2014/main" id="{770D3030-0A69-4C24-B889-5ADD064AF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486900" y="0"/>
          <a:ext cx="1501140" cy="1359164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91440</xdr:colOff>
      <xdr:row>0</xdr:row>
      <xdr:rowOff>38100</xdr:rowOff>
    </xdr:from>
    <xdr:to>
      <xdr:col>2</xdr:col>
      <xdr:colOff>967740</xdr:colOff>
      <xdr:row>7</xdr:row>
      <xdr:rowOff>62707</xdr:rowOff>
    </xdr:to>
    <xdr:pic>
      <xdr:nvPicPr>
        <xdr:cNvPr id="23" name="43 Imagen" descr="Logo.png">
          <a:extLst>
            <a:ext uri="{FF2B5EF4-FFF2-40B4-BE49-F238E27FC236}">
              <a16:creationId xmlns:a16="http://schemas.microsoft.com/office/drawing/2014/main" id="{26E010DF-5086-43E5-A3BA-36163D67F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01040" y="38100"/>
          <a:ext cx="1836420" cy="13200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brandarrays.com/" TargetMode="External"/><Relationship Id="rId1" Type="http://schemas.openxmlformats.org/officeDocument/2006/relationships/hyperlink" Target="mailto:mantenimiento@typhoonmx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338CD-AE7C-473C-9304-E6CB9B0D9FA5}">
  <sheetPr>
    <pageSetUpPr fitToPage="1"/>
  </sheetPr>
  <dimension ref="A1:O79"/>
  <sheetViews>
    <sheetView tabSelected="1" zoomScale="75" zoomScaleNormal="75" workbookViewId="0">
      <selection activeCell="R22" sqref="R22"/>
    </sheetView>
  </sheetViews>
  <sheetFormatPr baseColWidth="10" defaultRowHeight="14.4" x14ac:dyDescent="0.3"/>
  <cols>
    <col min="1" max="1" width="8.88671875" customWidth="1"/>
    <col min="2" max="2" width="14" customWidth="1"/>
    <col min="3" max="3" width="14.5546875" customWidth="1"/>
    <col min="4" max="4" width="10.88671875" customWidth="1"/>
    <col min="5" max="5" width="3.109375" customWidth="1"/>
    <col min="6" max="6" width="12.5546875" customWidth="1"/>
    <col min="7" max="7" width="17.109375" bestFit="1" customWidth="1"/>
    <col min="8" max="8" width="19.77734375" bestFit="1" customWidth="1"/>
    <col min="9" max="9" width="8.6640625" customWidth="1"/>
    <col min="11" max="11" width="6.109375" customWidth="1"/>
    <col min="12" max="12" width="12.6640625" customWidth="1"/>
    <col min="13" max="13" width="17" style="9" customWidth="1"/>
    <col min="14" max="14" width="5.109375" customWidth="1"/>
  </cols>
  <sheetData>
    <row r="1" spans="1:14" ht="24.6" x14ac:dyDescent="0.4">
      <c r="A1" s="144"/>
      <c r="B1" s="144"/>
      <c r="C1" s="144"/>
      <c r="D1" s="1"/>
      <c r="E1" s="1"/>
      <c r="G1" s="2"/>
      <c r="H1" s="3"/>
      <c r="I1" s="3"/>
      <c r="K1" s="4"/>
      <c r="L1" s="5"/>
      <c r="M1" s="6"/>
      <c r="N1" s="5"/>
    </row>
    <row r="2" spans="1:14" ht="14.25" customHeight="1" x14ac:dyDescent="0.3">
      <c r="A2" s="144"/>
      <c r="B2" s="144"/>
      <c r="C2" s="144"/>
      <c r="D2" s="2"/>
      <c r="E2" s="2"/>
      <c r="G2" s="2"/>
      <c r="H2" s="7"/>
      <c r="I2" s="7"/>
      <c r="J2" s="7"/>
      <c r="K2" s="7"/>
      <c r="L2" s="7"/>
      <c r="M2" s="8"/>
      <c r="N2" s="7"/>
    </row>
    <row r="3" spans="1:14" ht="14.25" customHeight="1" x14ac:dyDescent="0.3">
      <c r="A3" s="144"/>
      <c r="B3" s="144"/>
      <c r="C3" s="144"/>
      <c r="D3" s="2"/>
      <c r="E3" s="2"/>
      <c r="G3" s="2"/>
    </row>
    <row r="4" spans="1:14" x14ac:dyDescent="0.3">
      <c r="A4" s="10"/>
      <c r="B4" s="10"/>
      <c r="C4" s="10"/>
      <c r="D4" s="2"/>
      <c r="E4" s="2"/>
      <c r="G4" s="2"/>
      <c r="H4" s="11"/>
      <c r="I4" s="11"/>
      <c r="J4" s="11"/>
      <c r="K4" s="11"/>
      <c r="L4" s="12"/>
      <c r="M4" s="12"/>
      <c r="N4" s="7"/>
    </row>
    <row r="5" spans="1:14" x14ac:dyDescent="0.3">
      <c r="D5" s="2"/>
      <c r="E5" s="2"/>
      <c r="G5" s="2"/>
      <c r="H5" s="11"/>
      <c r="I5" s="11"/>
      <c r="J5" s="11"/>
      <c r="K5" s="11"/>
      <c r="L5" s="7"/>
      <c r="M5" s="8"/>
      <c r="N5" s="7"/>
    </row>
    <row r="6" spans="1:14" x14ac:dyDescent="0.3">
      <c r="D6" s="2"/>
      <c r="E6" s="2"/>
      <c r="G6" s="2"/>
      <c r="H6" s="11"/>
      <c r="I6" s="11"/>
      <c r="J6" s="11"/>
      <c r="K6" s="11"/>
      <c r="L6" s="7"/>
      <c r="M6" s="8"/>
      <c r="N6" s="7"/>
    </row>
    <row r="7" spans="1:14" ht="6.75" customHeight="1" x14ac:dyDescent="0.3">
      <c r="A7" s="13"/>
      <c r="B7" s="13"/>
      <c r="C7" s="13"/>
      <c r="D7" s="13"/>
      <c r="E7" s="13"/>
      <c r="F7" s="13"/>
      <c r="G7" s="13"/>
      <c r="H7" s="14"/>
      <c r="I7" s="14"/>
      <c r="J7" s="14"/>
      <c r="K7" s="13"/>
      <c r="L7" s="13"/>
      <c r="M7" s="15"/>
      <c r="N7" s="13"/>
    </row>
    <row r="8" spans="1:14" ht="15" thickBot="1" x14ac:dyDescent="0.35">
      <c r="A8" s="16"/>
      <c r="D8" s="17"/>
      <c r="E8" s="16" t="s">
        <v>0</v>
      </c>
      <c r="F8" s="17"/>
      <c r="G8" s="16"/>
      <c r="H8" s="16"/>
      <c r="I8" s="16"/>
      <c r="J8" s="16"/>
      <c r="K8" s="16"/>
      <c r="L8" s="16"/>
      <c r="N8" s="17"/>
    </row>
    <row r="9" spans="1:14" ht="16.2" thickTop="1" x14ac:dyDescent="0.3">
      <c r="A9" s="18" t="s">
        <v>1</v>
      </c>
      <c r="B9" s="19" t="s">
        <v>49</v>
      </c>
      <c r="C9" s="20"/>
      <c r="D9" s="21"/>
      <c r="E9" s="145" t="s">
        <v>2</v>
      </c>
      <c r="F9" s="146"/>
      <c r="G9" s="23" t="s">
        <v>40</v>
      </c>
      <c r="H9" s="23"/>
      <c r="I9" s="23"/>
      <c r="J9" s="22"/>
      <c r="K9" s="24"/>
      <c r="L9" s="25"/>
      <c r="M9" s="26"/>
      <c r="N9" s="27"/>
    </row>
    <row r="10" spans="1:14" ht="15.6" x14ac:dyDescent="0.3">
      <c r="A10" s="28" t="s">
        <v>3</v>
      </c>
      <c r="B10" s="29" t="s">
        <v>50</v>
      </c>
      <c r="C10" s="30"/>
      <c r="D10" s="21"/>
      <c r="E10" s="147" t="s">
        <v>4</v>
      </c>
      <c r="F10" s="142"/>
      <c r="G10" s="148" t="s">
        <v>41</v>
      </c>
      <c r="H10" s="149"/>
      <c r="I10" s="13"/>
      <c r="J10" s="13"/>
      <c r="K10" s="32"/>
      <c r="L10" s="33"/>
      <c r="N10" s="34"/>
    </row>
    <row r="11" spans="1:14" ht="17.25" customHeight="1" thickBot="1" x14ac:dyDescent="0.35">
      <c r="A11" s="35" t="s">
        <v>5</v>
      </c>
      <c r="B11" s="36"/>
      <c r="C11" s="37"/>
      <c r="D11" s="38"/>
      <c r="E11" s="147" t="s">
        <v>6</v>
      </c>
      <c r="F11" s="142"/>
      <c r="G11" s="150" t="s">
        <v>42</v>
      </c>
      <c r="H11" s="150"/>
      <c r="I11" s="150"/>
      <c r="J11" s="150"/>
      <c r="K11" s="32"/>
      <c r="L11" s="39"/>
      <c r="N11" s="40" t="s">
        <v>7</v>
      </c>
    </row>
    <row r="12" spans="1:14" ht="15" thickTop="1" x14ac:dyDescent="0.3">
      <c r="D12" s="38"/>
      <c r="E12" s="147" t="s">
        <v>8</v>
      </c>
      <c r="F12" s="142"/>
      <c r="G12" s="151" t="s">
        <v>43</v>
      </c>
      <c r="H12" s="149"/>
      <c r="I12" s="41"/>
      <c r="J12" s="13"/>
      <c r="K12" s="32"/>
      <c r="L12" s="33"/>
      <c r="N12" s="40"/>
    </row>
    <row r="13" spans="1:14" x14ac:dyDescent="0.3">
      <c r="D13" s="42"/>
      <c r="E13" s="147" t="s">
        <v>9</v>
      </c>
      <c r="F13" s="142"/>
      <c r="G13" s="151" t="s">
        <v>44</v>
      </c>
      <c r="H13" s="149"/>
      <c r="I13" s="41"/>
      <c r="J13" s="31"/>
      <c r="K13" s="32"/>
      <c r="L13" s="43"/>
      <c r="N13" s="40"/>
    </row>
    <row r="14" spans="1:14" ht="15.6" x14ac:dyDescent="0.3">
      <c r="A14" s="16"/>
      <c r="B14" s="16"/>
      <c r="C14" s="44"/>
      <c r="D14" s="45"/>
      <c r="E14" s="147" t="s">
        <v>10</v>
      </c>
      <c r="F14" s="142"/>
      <c r="G14" s="208" t="s">
        <v>45</v>
      </c>
      <c r="H14" s="31"/>
      <c r="I14" s="142" t="s">
        <v>46</v>
      </c>
      <c r="J14" s="142"/>
      <c r="K14" s="143"/>
      <c r="L14" s="33"/>
      <c r="N14" s="40"/>
    </row>
    <row r="15" spans="1:14" x14ac:dyDescent="0.3">
      <c r="A15" s="16"/>
      <c r="B15" s="16"/>
      <c r="C15" s="44"/>
      <c r="D15" s="45"/>
      <c r="E15" s="147" t="s">
        <v>11</v>
      </c>
      <c r="F15" s="142"/>
      <c r="G15" s="155" t="s">
        <v>47</v>
      </c>
      <c r="H15" s="155"/>
      <c r="I15" s="155"/>
      <c r="J15" s="13"/>
      <c r="K15" s="32"/>
      <c r="L15" s="17"/>
      <c r="M15" s="39"/>
      <c r="N15" s="40"/>
    </row>
    <row r="16" spans="1:14" x14ac:dyDescent="0.3">
      <c r="A16" s="16"/>
      <c r="B16" s="16"/>
      <c r="C16" s="16"/>
      <c r="D16" s="17"/>
      <c r="E16" s="46" t="s">
        <v>12</v>
      </c>
      <c r="F16" s="47"/>
      <c r="G16" s="47"/>
      <c r="H16" s="47"/>
      <c r="I16" s="47"/>
      <c r="J16" s="48"/>
      <c r="K16" s="49"/>
      <c r="L16" s="50"/>
      <c r="M16" s="51"/>
      <c r="N16" s="52"/>
    </row>
    <row r="17" spans="1:15" x14ac:dyDescent="0.3">
      <c r="A17" s="16"/>
      <c r="B17" s="16"/>
      <c r="C17" s="16"/>
      <c r="D17" s="17"/>
      <c r="E17" s="46" t="s">
        <v>13</v>
      </c>
      <c r="F17" s="47"/>
      <c r="G17" s="209" t="s">
        <v>48</v>
      </c>
      <c r="H17" s="210"/>
      <c r="I17" s="210"/>
      <c r="J17" s="48"/>
      <c r="K17" s="49"/>
      <c r="L17" s="220" t="s">
        <v>64</v>
      </c>
      <c r="M17" s="51" t="s">
        <v>65</v>
      </c>
      <c r="N17" s="52"/>
    </row>
    <row r="18" spans="1:15" ht="15" thickBot="1" x14ac:dyDescent="0.3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39"/>
      <c r="N18" s="17"/>
    </row>
    <row r="19" spans="1:15" ht="15" thickBot="1" x14ac:dyDescent="0.35">
      <c r="A19" s="127" t="s">
        <v>14</v>
      </c>
      <c r="B19" s="128" t="s">
        <v>15</v>
      </c>
      <c r="C19" s="129" t="s">
        <v>16</v>
      </c>
      <c r="D19" s="130"/>
      <c r="E19" s="130"/>
      <c r="F19" s="131"/>
      <c r="G19" s="131"/>
      <c r="H19" s="132"/>
      <c r="I19" s="133" t="s">
        <v>17</v>
      </c>
      <c r="J19" s="134" t="s">
        <v>18</v>
      </c>
      <c r="K19" s="156" t="s">
        <v>19</v>
      </c>
      <c r="L19" s="157"/>
      <c r="M19" s="158" t="s">
        <v>20</v>
      </c>
      <c r="N19" s="159"/>
    </row>
    <row r="20" spans="1:15" ht="14.4" customHeight="1" x14ac:dyDescent="0.3">
      <c r="A20" s="53"/>
      <c r="B20" s="54"/>
      <c r="C20" s="55"/>
      <c r="D20" s="56"/>
      <c r="E20" s="56"/>
      <c r="F20" s="56"/>
      <c r="G20" s="56"/>
      <c r="H20" s="57"/>
      <c r="I20" s="58"/>
      <c r="J20" s="59"/>
      <c r="K20" s="54"/>
      <c r="L20" s="60"/>
      <c r="M20" s="54"/>
      <c r="N20" s="58"/>
    </row>
    <row r="21" spans="1:15" s="66" customFormat="1" ht="15.6" x14ac:dyDescent="0.3">
      <c r="A21" s="61"/>
      <c r="B21" s="62"/>
      <c r="C21" s="160"/>
      <c r="D21" s="161"/>
      <c r="E21" s="161"/>
      <c r="F21" s="161"/>
      <c r="G21" s="161"/>
      <c r="H21" s="162"/>
      <c r="I21" s="63"/>
      <c r="J21" s="64"/>
      <c r="K21" s="65"/>
      <c r="L21" s="63"/>
      <c r="M21" s="62"/>
      <c r="N21" s="58"/>
    </row>
    <row r="22" spans="1:15" s="31" customFormat="1" ht="15.6" customHeight="1" x14ac:dyDescent="0.3">
      <c r="A22" s="136">
        <v>1</v>
      </c>
      <c r="B22" s="137"/>
      <c r="C22" s="163" t="s">
        <v>39</v>
      </c>
      <c r="D22" s="164"/>
      <c r="E22" s="164"/>
      <c r="F22" s="164"/>
      <c r="G22" s="164"/>
      <c r="H22" s="165"/>
      <c r="I22" s="138"/>
      <c r="J22" s="139"/>
      <c r="K22" s="137"/>
      <c r="L22" s="140"/>
      <c r="M22" s="137"/>
      <c r="N22" s="58"/>
    </row>
    <row r="23" spans="1:15" s="31" customFormat="1" ht="15" x14ac:dyDescent="0.25">
      <c r="A23" s="213"/>
      <c r="B23" s="62"/>
      <c r="C23" s="152"/>
      <c r="D23" s="153"/>
      <c r="E23" s="153"/>
      <c r="F23" s="153"/>
      <c r="G23" s="153"/>
      <c r="H23" s="154"/>
      <c r="I23" s="71"/>
      <c r="J23" s="64"/>
      <c r="K23" s="62"/>
      <c r="L23" s="72"/>
      <c r="M23" s="65"/>
      <c r="N23" s="58"/>
    </row>
    <row r="24" spans="1:15" s="31" customFormat="1" ht="16.5" customHeight="1" x14ac:dyDescent="0.25">
      <c r="A24" s="213"/>
      <c r="B24" s="62"/>
      <c r="C24" s="152"/>
      <c r="D24" s="153"/>
      <c r="E24" s="153"/>
      <c r="F24" s="153"/>
      <c r="G24" s="153"/>
      <c r="H24" s="154"/>
      <c r="I24" s="71"/>
      <c r="J24" s="64"/>
      <c r="K24" s="62"/>
      <c r="L24" s="72"/>
      <c r="M24" s="65"/>
      <c r="N24" s="58"/>
    </row>
    <row r="25" spans="1:15" s="31" customFormat="1" ht="15" x14ac:dyDescent="0.25">
      <c r="A25" s="213"/>
      <c r="B25" s="62"/>
      <c r="C25" s="152"/>
      <c r="D25" s="153"/>
      <c r="E25" s="153"/>
      <c r="F25" s="153"/>
      <c r="G25" s="153"/>
      <c r="H25" s="154"/>
      <c r="I25" s="71"/>
      <c r="J25" s="64"/>
      <c r="K25" s="62"/>
      <c r="L25" s="72"/>
      <c r="M25" s="65"/>
      <c r="N25" s="58"/>
    </row>
    <row r="26" spans="1:15" s="31" customFormat="1" ht="16.5" customHeight="1" x14ac:dyDescent="0.25">
      <c r="A26" s="213"/>
      <c r="B26" s="62"/>
      <c r="C26" s="152"/>
      <c r="D26" s="153"/>
      <c r="E26" s="153"/>
      <c r="F26" s="153"/>
      <c r="G26" s="153"/>
      <c r="H26" s="154"/>
      <c r="I26" s="71"/>
      <c r="J26" s="64"/>
      <c r="K26" s="62"/>
      <c r="L26" s="72"/>
      <c r="M26" s="65"/>
      <c r="N26" s="58"/>
    </row>
    <row r="27" spans="1:15" s="31" customFormat="1" ht="60.6" customHeight="1" x14ac:dyDescent="0.25">
      <c r="A27" s="70">
        <v>1.1000000000000001</v>
      </c>
      <c r="B27" s="62" t="s">
        <v>60</v>
      </c>
      <c r="C27" s="152" t="s">
        <v>54</v>
      </c>
      <c r="D27" s="211"/>
      <c r="E27" s="211"/>
      <c r="F27" s="211"/>
      <c r="G27" s="211"/>
      <c r="H27" s="212"/>
      <c r="I27" s="71" t="s">
        <v>51</v>
      </c>
      <c r="J27" s="64">
        <v>1</v>
      </c>
      <c r="K27" s="62"/>
      <c r="L27" s="71">
        <v>12000</v>
      </c>
      <c r="M27" s="62">
        <f>J27*L27</f>
        <v>12000</v>
      </c>
      <c r="N27" s="83"/>
      <c r="O27" s="141"/>
    </row>
    <row r="28" spans="1:15" s="31" customFormat="1" ht="15" x14ac:dyDescent="0.25">
      <c r="A28" s="70"/>
      <c r="B28" s="62"/>
      <c r="C28" s="152"/>
      <c r="D28" s="211"/>
      <c r="E28" s="211"/>
      <c r="F28" s="211"/>
      <c r="G28" s="211"/>
      <c r="H28" s="212"/>
      <c r="I28" s="71"/>
      <c r="J28" s="64"/>
      <c r="K28" s="62"/>
      <c r="L28" s="71"/>
      <c r="M28" s="62"/>
      <c r="N28" s="83"/>
      <c r="O28" s="141"/>
    </row>
    <row r="29" spans="1:15" s="31" customFormat="1" ht="15" x14ac:dyDescent="0.25">
      <c r="A29" s="70">
        <v>1.2</v>
      </c>
      <c r="B29" s="62" t="s">
        <v>58</v>
      </c>
      <c r="C29" s="152" t="s">
        <v>52</v>
      </c>
      <c r="D29" s="211"/>
      <c r="E29" s="211"/>
      <c r="F29" s="211"/>
      <c r="G29" s="211"/>
      <c r="H29" s="212"/>
      <c r="I29" s="73" t="s">
        <v>21</v>
      </c>
      <c r="J29" s="64">
        <v>1</v>
      </c>
      <c r="K29" s="62"/>
      <c r="L29" s="71">
        <v>2500</v>
      </c>
      <c r="M29" s="62">
        <f t="shared" ref="M29" si="0">J29*L29</f>
        <v>2500</v>
      </c>
      <c r="N29" s="135"/>
      <c r="O29" s="141"/>
    </row>
    <row r="30" spans="1:15" s="31" customFormat="1" ht="15" x14ac:dyDescent="0.25">
      <c r="A30" s="70"/>
      <c r="B30" s="62"/>
      <c r="C30" s="214"/>
      <c r="D30" s="215"/>
      <c r="E30" s="215"/>
      <c r="F30" s="215"/>
      <c r="G30" s="215"/>
      <c r="H30" s="216"/>
      <c r="I30" s="71"/>
      <c r="J30" s="64"/>
      <c r="K30" s="62"/>
      <c r="L30" s="71"/>
      <c r="M30" s="62"/>
      <c r="N30" s="83"/>
      <c r="O30" s="141"/>
    </row>
    <row r="31" spans="1:15" s="31" customFormat="1" ht="60.6" customHeight="1" x14ac:dyDescent="0.25">
      <c r="A31" s="75">
        <v>1.3</v>
      </c>
      <c r="B31" s="62" t="s">
        <v>59</v>
      </c>
      <c r="C31" s="214" t="s">
        <v>53</v>
      </c>
      <c r="D31" s="215"/>
      <c r="E31" s="215"/>
      <c r="F31" s="215"/>
      <c r="G31" s="215"/>
      <c r="H31" s="216"/>
      <c r="I31" s="71" t="s">
        <v>21</v>
      </c>
      <c r="J31" s="64">
        <v>1</v>
      </c>
      <c r="K31" s="62"/>
      <c r="L31" s="71">
        <v>1500</v>
      </c>
      <c r="M31" s="62">
        <f>J31*L31</f>
        <v>1500</v>
      </c>
      <c r="N31" s="83"/>
      <c r="O31" s="141"/>
    </row>
    <row r="32" spans="1:15" s="31" customFormat="1" ht="15" x14ac:dyDescent="0.25">
      <c r="A32" s="75"/>
      <c r="B32" s="62"/>
      <c r="C32" s="152"/>
      <c r="D32" s="171"/>
      <c r="E32" s="171"/>
      <c r="F32" s="171"/>
      <c r="G32" s="171"/>
      <c r="H32" s="172"/>
      <c r="I32" s="71"/>
      <c r="J32" s="64"/>
      <c r="K32" s="62"/>
      <c r="L32" s="72"/>
      <c r="M32" s="62"/>
      <c r="N32" s="58"/>
    </row>
    <row r="33" spans="1:14" s="31" customFormat="1" ht="15" x14ac:dyDescent="0.25">
      <c r="A33" s="75"/>
      <c r="B33" s="62"/>
      <c r="C33" s="152"/>
      <c r="D33" s="169"/>
      <c r="E33" s="169"/>
      <c r="F33" s="169"/>
      <c r="G33" s="169"/>
      <c r="H33" s="170"/>
      <c r="I33" s="71"/>
      <c r="J33" s="64"/>
      <c r="K33" s="62"/>
      <c r="L33" s="72"/>
      <c r="M33" s="62"/>
      <c r="N33" s="58"/>
    </row>
    <row r="34" spans="1:14" s="31" customFormat="1" ht="36.6" customHeight="1" x14ac:dyDescent="0.25">
      <c r="A34" s="70"/>
      <c r="B34" s="62"/>
      <c r="C34" s="166"/>
      <c r="D34" s="167"/>
      <c r="E34" s="167"/>
      <c r="F34" s="167"/>
      <c r="G34" s="167"/>
      <c r="H34" s="168"/>
      <c r="I34" s="73"/>
      <c r="J34" s="64"/>
      <c r="K34" s="62"/>
      <c r="L34" s="71"/>
      <c r="M34" s="62"/>
      <c r="N34" s="74"/>
    </row>
    <row r="35" spans="1:14" s="31" customFormat="1" ht="15" x14ac:dyDescent="0.25">
      <c r="A35" s="75"/>
      <c r="B35" s="62"/>
      <c r="C35" s="152"/>
      <c r="D35" s="169"/>
      <c r="E35" s="169"/>
      <c r="F35" s="169"/>
      <c r="G35" s="169"/>
      <c r="H35" s="170"/>
      <c r="I35" s="71"/>
      <c r="J35" s="64"/>
      <c r="K35" s="62"/>
      <c r="L35" s="72"/>
      <c r="M35" s="62"/>
      <c r="N35" s="58"/>
    </row>
    <row r="36" spans="1:14" s="31" customFormat="1" ht="15" x14ac:dyDescent="0.25">
      <c r="A36" s="75"/>
      <c r="B36" s="62"/>
      <c r="C36" s="152"/>
      <c r="D36" s="171"/>
      <c r="E36" s="171"/>
      <c r="F36" s="171"/>
      <c r="G36" s="171"/>
      <c r="H36" s="172"/>
      <c r="I36" s="71"/>
      <c r="J36" s="64"/>
      <c r="K36" s="62"/>
      <c r="L36" s="72"/>
      <c r="M36" s="62"/>
      <c r="N36" s="58"/>
    </row>
    <row r="37" spans="1:14" s="31" customFormat="1" ht="15" x14ac:dyDescent="0.25">
      <c r="A37" s="75"/>
      <c r="B37" s="62"/>
      <c r="C37" s="152"/>
      <c r="D37" s="171"/>
      <c r="E37" s="171"/>
      <c r="F37" s="171"/>
      <c r="G37" s="171"/>
      <c r="H37" s="172"/>
      <c r="I37" s="71"/>
      <c r="J37" s="64"/>
      <c r="K37" s="62"/>
      <c r="L37" s="72"/>
      <c r="M37" s="62"/>
      <c r="N37" s="58"/>
    </row>
    <row r="38" spans="1:14" s="31" customFormat="1" ht="15" x14ac:dyDescent="0.25">
      <c r="A38" s="75"/>
      <c r="B38" s="62"/>
      <c r="C38" s="152"/>
      <c r="D38" s="169"/>
      <c r="E38" s="169"/>
      <c r="F38" s="169"/>
      <c r="G38" s="169"/>
      <c r="H38" s="170"/>
      <c r="I38" s="71"/>
      <c r="J38" s="64"/>
      <c r="K38" s="62"/>
      <c r="L38" s="72"/>
      <c r="M38" s="62"/>
      <c r="N38" s="58"/>
    </row>
    <row r="39" spans="1:14" s="31" customFormat="1" ht="16.5" customHeight="1" x14ac:dyDescent="0.25">
      <c r="A39" s="75"/>
      <c r="B39" s="54"/>
      <c r="C39" s="152"/>
      <c r="D39" s="169"/>
      <c r="E39" s="169"/>
      <c r="F39" s="169"/>
      <c r="G39" s="169"/>
      <c r="H39" s="170"/>
      <c r="I39" s="58"/>
      <c r="J39" s="64"/>
      <c r="K39" s="54"/>
      <c r="L39" s="72"/>
      <c r="M39" s="76"/>
      <c r="N39" s="58"/>
    </row>
    <row r="40" spans="1:14" s="31" customFormat="1" ht="15" x14ac:dyDescent="0.25">
      <c r="A40" s="75"/>
      <c r="B40" s="62"/>
      <c r="C40" s="152"/>
      <c r="D40" s="169"/>
      <c r="E40" s="169"/>
      <c r="F40" s="169"/>
      <c r="G40" s="169"/>
      <c r="H40" s="170"/>
      <c r="I40" s="71"/>
      <c r="J40" s="64"/>
      <c r="K40" s="62"/>
      <c r="L40" s="72"/>
      <c r="M40" s="62"/>
      <c r="N40" s="58"/>
    </row>
    <row r="41" spans="1:14" s="31" customFormat="1" ht="15" x14ac:dyDescent="0.25">
      <c r="A41" s="75"/>
      <c r="B41" s="62"/>
      <c r="C41" s="152"/>
      <c r="D41" s="171"/>
      <c r="E41" s="171"/>
      <c r="F41" s="171"/>
      <c r="G41" s="171"/>
      <c r="H41" s="172"/>
      <c r="I41" s="71"/>
      <c r="J41" s="64"/>
      <c r="K41" s="62"/>
      <c r="L41" s="72"/>
      <c r="M41" s="62"/>
      <c r="N41" s="58"/>
    </row>
    <row r="42" spans="1:14" s="31" customFormat="1" ht="15" x14ac:dyDescent="0.25">
      <c r="A42" s="75"/>
      <c r="B42" s="62"/>
      <c r="C42" s="152"/>
      <c r="D42" s="171"/>
      <c r="E42" s="171"/>
      <c r="F42" s="171"/>
      <c r="G42" s="171"/>
      <c r="H42" s="172"/>
      <c r="I42" s="71"/>
      <c r="J42" s="64"/>
      <c r="K42" s="62"/>
      <c r="L42" s="72"/>
      <c r="M42" s="62"/>
      <c r="N42" s="58"/>
    </row>
    <row r="43" spans="1:14" s="31" customFormat="1" ht="15" x14ac:dyDescent="0.25">
      <c r="A43" s="75"/>
      <c r="B43" s="62"/>
      <c r="C43" s="152"/>
      <c r="D43" s="169"/>
      <c r="E43" s="169"/>
      <c r="F43" s="169"/>
      <c r="G43" s="169"/>
      <c r="H43" s="170"/>
      <c r="I43" s="71"/>
      <c r="J43" s="64"/>
      <c r="K43" s="62"/>
      <c r="L43" s="72"/>
      <c r="M43" s="62"/>
      <c r="N43" s="58"/>
    </row>
    <row r="44" spans="1:14" s="31" customFormat="1" ht="16.5" customHeight="1" x14ac:dyDescent="0.25">
      <c r="A44" s="75"/>
      <c r="B44" s="54"/>
      <c r="C44" s="152"/>
      <c r="D44" s="169"/>
      <c r="E44" s="169"/>
      <c r="F44" s="169"/>
      <c r="G44" s="169"/>
      <c r="H44" s="170"/>
      <c r="I44" s="58"/>
      <c r="J44" s="64"/>
      <c r="K44" s="54"/>
      <c r="L44" s="72"/>
      <c r="M44" s="76"/>
      <c r="N44" s="58"/>
    </row>
    <row r="45" spans="1:14" s="31" customFormat="1" ht="15" x14ac:dyDescent="0.25">
      <c r="A45" s="75"/>
      <c r="B45" s="62"/>
      <c r="C45" s="152"/>
      <c r="D45" s="169"/>
      <c r="E45" s="169"/>
      <c r="F45" s="169"/>
      <c r="G45" s="169"/>
      <c r="H45" s="170"/>
      <c r="I45" s="71"/>
      <c r="J45" s="64"/>
      <c r="K45" s="62"/>
      <c r="L45" s="72"/>
      <c r="M45" s="62"/>
      <c r="N45" s="58"/>
    </row>
    <row r="46" spans="1:14" s="31" customFormat="1" ht="15" x14ac:dyDescent="0.25">
      <c r="A46" s="75"/>
      <c r="B46" s="62"/>
      <c r="C46" s="152"/>
      <c r="D46" s="171"/>
      <c r="E46" s="171"/>
      <c r="F46" s="171"/>
      <c r="G46" s="171"/>
      <c r="H46" s="172"/>
      <c r="I46" s="71"/>
      <c r="J46" s="64"/>
      <c r="K46" s="62"/>
      <c r="L46" s="72"/>
      <c r="M46" s="62"/>
      <c r="N46" s="58"/>
    </row>
    <row r="47" spans="1:14" s="31" customFormat="1" ht="15" x14ac:dyDescent="0.25">
      <c r="A47" s="75"/>
      <c r="B47" s="62"/>
      <c r="C47" s="152"/>
      <c r="D47" s="171"/>
      <c r="E47" s="171"/>
      <c r="F47" s="171"/>
      <c r="G47" s="171"/>
      <c r="H47" s="172"/>
      <c r="I47" s="71"/>
      <c r="J47" s="64"/>
      <c r="K47" s="62"/>
      <c r="L47" s="72"/>
      <c r="M47" s="62"/>
      <c r="N47" s="58"/>
    </row>
    <row r="48" spans="1:14" s="31" customFormat="1" ht="15" x14ac:dyDescent="0.25">
      <c r="A48" s="75"/>
      <c r="B48" s="62"/>
      <c r="C48" s="152"/>
      <c r="D48" s="169"/>
      <c r="E48" s="169"/>
      <c r="F48" s="169"/>
      <c r="G48" s="169"/>
      <c r="H48" s="170"/>
      <c r="I48" s="71"/>
      <c r="J48" s="64"/>
      <c r="K48" s="62"/>
      <c r="L48" s="72"/>
      <c r="M48" s="62"/>
      <c r="N48" s="58"/>
    </row>
    <row r="49" spans="1:14" s="31" customFormat="1" ht="15" x14ac:dyDescent="0.25">
      <c r="A49" s="75"/>
      <c r="B49" s="62"/>
      <c r="C49" s="152"/>
      <c r="D49" s="169"/>
      <c r="E49" s="169"/>
      <c r="F49" s="169"/>
      <c r="G49" s="169"/>
      <c r="H49" s="170"/>
      <c r="I49" s="71"/>
      <c r="J49" s="64"/>
      <c r="K49" s="62"/>
      <c r="L49" s="72"/>
      <c r="M49" s="62"/>
      <c r="N49" s="58"/>
    </row>
    <row r="50" spans="1:14" s="31" customFormat="1" ht="15" x14ac:dyDescent="0.25">
      <c r="A50" s="75"/>
      <c r="B50" s="62"/>
      <c r="C50" s="152"/>
      <c r="D50" s="169"/>
      <c r="E50" s="169"/>
      <c r="F50" s="169"/>
      <c r="G50" s="169"/>
      <c r="H50" s="170"/>
      <c r="I50" s="71"/>
      <c r="J50" s="64"/>
      <c r="K50" s="62"/>
      <c r="L50" s="72"/>
      <c r="M50" s="62"/>
      <c r="N50" s="58"/>
    </row>
    <row r="51" spans="1:14" s="31" customFormat="1" ht="15" x14ac:dyDescent="0.25">
      <c r="A51" s="75"/>
      <c r="B51" s="62"/>
      <c r="C51" s="152"/>
      <c r="D51" s="171"/>
      <c r="E51" s="171"/>
      <c r="F51" s="171"/>
      <c r="G51" s="171"/>
      <c r="H51" s="172"/>
      <c r="I51" s="71"/>
      <c r="J51" s="64"/>
      <c r="K51" s="62"/>
      <c r="L51" s="72"/>
      <c r="M51" s="62"/>
      <c r="N51" s="58"/>
    </row>
    <row r="52" spans="1:14" s="31" customFormat="1" ht="15" x14ac:dyDescent="0.25">
      <c r="A52" s="75"/>
      <c r="B52" s="62"/>
      <c r="C52" s="152"/>
      <c r="D52" s="171"/>
      <c r="E52" s="171"/>
      <c r="F52" s="171"/>
      <c r="G52" s="171"/>
      <c r="H52" s="172"/>
      <c r="I52" s="71"/>
      <c r="J52" s="64"/>
      <c r="K52" s="62"/>
      <c r="L52" s="72"/>
      <c r="M52" s="62"/>
      <c r="N52" s="58"/>
    </row>
    <row r="53" spans="1:14" s="31" customFormat="1" ht="15.6" x14ac:dyDescent="0.25">
      <c r="A53" s="75"/>
      <c r="B53" s="62"/>
      <c r="C53" s="207" t="s">
        <v>57</v>
      </c>
      <c r="D53" s="217"/>
      <c r="E53" s="217"/>
      <c r="F53" s="217"/>
      <c r="G53" s="217"/>
      <c r="H53" s="218"/>
      <c r="I53" s="68" t="s">
        <v>56</v>
      </c>
      <c r="J53" s="69">
        <v>1</v>
      </c>
      <c r="K53" s="67"/>
      <c r="L53" s="219">
        <v>0.05</v>
      </c>
      <c r="M53" s="67">
        <f>-L53*(M27+M29+M31)</f>
        <v>-800</v>
      </c>
      <c r="N53" s="58"/>
    </row>
    <row r="54" spans="1:14" s="31" customFormat="1" ht="16.5" customHeight="1" x14ac:dyDescent="0.25">
      <c r="A54" s="75"/>
      <c r="B54" s="54"/>
      <c r="C54" s="152"/>
      <c r="D54" s="169"/>
      <c r="E54" s="169"/>
      <c r="F54" s="169"/>
      <c r="G54" s="169"/>
      <c r="H54" s="170"/>
      <c r="I54" s="58"/>
      <c r="J54" s="64"/>
      <c r="K54" s="54"/>
      <c r="L54" s="72"/>
      <c r="M54" s="76"/>
      <c r="N54" s="58"/>
    </row>
    <row r="55" spans="1:14" s="31" customFormat="1" ht="15" x14ac:dyDescent="0.25">
      <c r="A55" s="75"/>
      <c r="B55" s="62"/>
      <c r="C55" s="152"/>
      <c r="D55" s="169"/>
      <c r="E55" s="169"/>
      <c r="F55" s="169"/>
      <c r="G55" s="169"/>
      <c r="H55" s="170"/>
      <c r="I55" s="71"/>
      <c r="J55" s="64"/>
      <c r="K55" s="62"/>
      <c r="L55" s="72"/>
      <c r="M55" s="62"/>
      <c r="N55" s="58"/>
    </row>
    <row r="56" spans="1:14" s="31" customFormat="1" ht="16.5" customHeight="1" x14ac:dyDescent="0.25">
      <c r="A56" s="75"/>
      <c r="B56" s="54"/>
      <c r="C56" s="152"/>
      <c r="D56" s="169"/>
      <c r="E56" s="169"/>
      <c r="F56" s="169"/>
      <c r="G56" s="169"/>
      <c r="H56" s="170"/>
      <c r="I56" s="71"/>
      <c r="J56" s="64"/>
      <c r="K56" s="54"/>
      <c r="L56" s="72"/>
      <c r="M56" s="76"/>
      <c r="N56" s="58"/>
    </row>
    <row r="57" spans="1:14" s="31" customFormat="1" ht="13.8" x14ac:dyDescent="0.25">
      <c r="A57" s="77"/>
      <c r="B57" s="54"/>
      <c r="C57" s="78"/>
      <c r="D57" s="79"/>
      <c r="E57" s="79"/>
      <c r="F57" s="79"/>
      <c r="G57" s="79"/>
      <c r="H57" s="80"/>
      <c r="I57" s="58"/>
      <c r="J57" s="59"/>
      <c r="K57" s="54"/>
      <c r="L57" s="58"/>
      <c r="M57" s="54"/>
      <c r="N57" s="58"/>
    </row>
    <row r="58" spans="1:14" s="31" customFormat="1" ht="15.6" x14ac:dyDescent="0.25">
      <c r="A58" s="53"/>
      <c r="B58" s="54"/>
      <c r="C58" s="175"/>
      <c r="D58" s="176"/>
      <c r="E58" s="176"/>
      <c r="F58" s="176"/>
      <c r="G58" s="176"/>
      <c r="H58" s="177"/>
      <c r="I58" s="58"/>
      <c r="J58" s="59"/>
      <c r="K58" s="54"/>
      <c r="L58" s="81"/>
      <c r="M58" s="62"/>
      <c r="N58" s="58"/>
    </row>
    <row r="59" spans="1:14" s="31" customFormat="1" ht="13.8" x14ac:dyDescent="0.25">
      <c r="A59" s="77"/>
      <c r="B59" s="54"/>
      <c r="C59" s="78"/>
      <c r="D59" s="79"/>
      <c r="E59" s="79"/>
      <c r="F59" s="79"/>
      <c r="G59" s="79"/>
      <c r="H59" s="80"/>
      <c r="I59" s="58"/>
      <c r="J59" s="59"/>
      <c r="K59" s="54"/>
      <c r="L59" s="82"/>
      <c r="M59" s="54"/>
      <c r="N59" s="58"/>
    </row>
    <row r="60" spans="1:14" s="31" customFormat="1" ht="13.8" x14ac:dyDescent="0.25">
      <c r="A60" s="53"/>
      <c r="B60" s="54"/>
      <c r="C60" s="178"/>
      <c r="D60" s="179"/>
      <c r="E60" s="179"/>
      <c r="F60" s="179"/>
      <c r="G60" s="179"/>
      <c r="H60" s="180"/>
      <c r="I60" s="58"/>
      <c r="J60" s="59"/>
      <c r="K60" s="54"/>
      <c r="L60" s="83"/>
      <c r="M60" s="54"/>
      <c r="N60" s="58"/>
    </row>
    <row r="61" spans="1:14" s="31" customFormat="1" ht="7.5" customHeight="1" x14ac:dyDescent="0.25">
      <c r="A61" s="84"/>
      <c r="B61" s="84"/>
      <c r="C61" s="84"/>
      <c r="D61" s="85"/>
      <c r="E61" s="85"/>
      <c r="F61" s="85"/>
      <c r="G61" s="85"/>
      <c r="H61" s="86"/>
      <c r="I61" s="87"/>
      <c r="J61" s="88"/>
      <c r="K61" s="89"/>
      <c r="L61" s="90"/>
      <c r="M61" s="91"/>
      <c r="N61" s="92"/>
    </row>
    <row r="62" spans="1:14" ht="15.6" x14ac:dyDescent="0.3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93" t="s">
        <v>20</v>
      </c>
      <c r="L62" s="79"/>
      <c r="M62" s="94">
        <f>SUM(M23:M61)</f>
        <v>15200</v>
      </c>
      <c r="N62" s="95" t="s">
        <v>22</v>
      </c>
    </row>
    <row r="63" spans="1:14" ht="15" customHeight="1" x14ac:dyDescent="0.3">
      <c r="A63" s="96"/>
      <c r="B63" s="97"/>
      <c r="C63" s="181" t="s">
        <v>37</v>
      </c>
      <c r="D63" s="182"/>
      <c r="E63" s="182"/>
      <c r="F63" s="182"/>
      <c r="G63" s="182"/>
      <c r="H63" s="182"/>
      <c r="I63" s="97"/>
      <c r="J63" s="98"/>
      <c r="K63" s="97"/>
      <c r="L63" s="99"/>
      <c r="M63" s="97"/>
      <c r="N63" s="100"/>
    </row>
    <row r="64" spans="1:14" ht="16.5" customHeight="1" x14ac:dyDescent="0.3">
      <c r="A64" s="101"/>
      <c r="B64" s="102"/>
      <c r="C64" s="183"/>
      <c r="D64" s="184"/>
      <c r="E64" s="184"/>
      <c r="F64" s="184"/>
      <c r="G64" s="184"/>
      <c r="H64" s="184"/>
      <c r="I64" s="103"/>
      <c r="J64" s="104"/>
      <c r="K64" s="105"/>
      <c r="L64" s="106"/>
      <c r="M64" s="107"/>
      <c r="N64" s="108"/>
    </row>
    <row r="65" spans="1:14" ht="16.5" customHeight="1" x14ac:dyDescent="0.3">
      <c r="A65" s="75">
        <v>1.4</v>
      </c>
      <c r="B65" s="62" t="s">
        <v>62</v>
      </c>
      <c r="C65" s="166" t="s">
        <v>61</v>
      </c>
      <c r="D65" s="185"/>
      <c r="E65" s="185"/>
      <c r="F65" s="185"/>
      <c r="G65" s="185"/>
      <c r="H65" s="186"/>
      <c r="I65" s="71" t="s">
        <v>63</v>
      </c>
      <c r="J65" s="64">
        <v>1</v>
      </c>
      <c r="K65" s="62"/>
      <c r="L65" s="72">
        <v>4500</v>
      </c>
      <c r="M65" s="67">
        <f>J65*L65</f>
        <v>4500</v>
      </c>
      <c r="N65" s="74" t="s">
        <v>22</v>
      </c>
    </row>
    <row r="66" spans="1:14" ht="16.5" customHeight="1" x14ac:dyDescent="0.3">
      <c r="A66" s="75"/>
      <c r="B66" s="73"/>
      <c r="C66" s="187"/>
      <c r="D66" s="188"/>
      <c r="E66" s="188"/>
      <c r="F66" s="188"/>
      <c r="G66" s="188"/>
      <c r="H66" s="189"/>
      <c r="I66" s="73"/>
      <c r="J66" s="109"/>
      <c r="K66" s="62"/>
      <c r="L66" s="72"/>
      <c r="M66" s="62"/>
      <c r="N66" s="74"/>
    </row>
    <row r="67" spans="1:14" ht="16.5" customHeight="1" x14ac:dyDescent="0.3">
      <c r="A67" s="75"/>
      <c r="B67" s="73"/>
      <c r="C67" s="187"/>
      <c r="D67" s="188"/>
      <c r="E67" s="188"/>
      <c r="F67" s="188"/>
      <c r="G67" s="188"/>
      <c r="H67" s="189"/>
      <c r="I67" s="73"/>
      <c r="J67" s="109"/>
      <c r="K67" s="62"/>
      <c r="L67" s="72"/>
      <c r="M67" s="62"/>
      <c r="N67" s="74"/>
    </row>
    <row r="68" spans="1:14" ht="16.5" customHeight="1" x14ac:dyDescent="0.3">
      <c r="A68" s="75"/>
      <c r="B68" s="73"/>
      <c r="C68" s="187"/>
      <c r="D68" s="188"/>
      <c r="E68" s="188"/>
      <c r="F68" s="188"/>
      <c r="G68" s="188"/>
      <c r="H68" s="189"/>
      <c r="I68" s="73"/>
      <c r="J68" s="109"/>
      <c r="K68" s="62"/>
      <c r="L68" s="72"/>
      <c r="M68" s="62"/>
      <c r="N68" s="74"/>
    </row>
    <row r="69" spans="1:14" ht="16.5" customHeight="1" x14ac:dyDescent="0.3">
      <c r="A69" s="75"/>
      <c r="B69" s="73"/>
      <c r="C69" s="187"/>
      <c r="D69" s="188"/>
      <c r="E69" s="188"/>
      <c r="F69" s="188"/>
      <c r="G69" s="188"/>
      <c r="H69" s="189"/>
      <c r="I69" s="73"/>
      <c r="J69" s="109"/>
      <c r="K69" s="62"/>
      <c r="L69" s="72"/>
      <c r="M69" s="62"/>
      <c r="N69" s="58"/>
    </row>
    <row r="70" spans="1:14" ht="16.5" customHeight="1" x14ac:dyDescent="0.3">
      <c r="A70" s="75"/>
      <c r="B70" s="110"/>
      <c r="C70" s="187"/>
      <c r="D70" s="188"/>
      <c r="E70" s="188"/>
      <c r="F70" s="188"/>
      <c r="G70" s="188"/>
      <c r="H70" s="189"/>
      <c r="I70" s="111"/>
      <c r="J70" s="109"/>
      <c r="K70" s="54"/>
      <c r="L70" s="72"/>
      <c r="M70" s="76"/>
      <c r="N70" s="58"/>
    </row>
    <row r="71" spans="1:14" ht="16.5" customHeight="1" x14ac:dyDescent="0.3">
      <c r="A71" s="75"/>
      <c r="B71" s="73"/>
      <c r="C71" s="190"/>
      <c r="D71" s="191"/>
      <c r="E71" s="191"/>
      <c r="F71" s="191"/>
      <c r="G71" s="191"/>
      <c r="H71" s="191"/>
      <c r="I71" s="73"/>
      <c r="J71" s="109"/>
      <c r="K71" s="62"/>
      <c r="L71" s="72"/>
      <c r="M71" s="62"/>
      <c r="N71" s="58"/>
    </row>
    <row r="72" spans="1:14" ht="15" x14ac:dyDescent="0.3">
      <c r="A72" s="112"/>
      <c r="B72" s="113"/>
      <c r="C72" s="173"/>
      <c r="D72" s="174"/>
      <c r="E72" s="174"/>
      <c r="F72" s="174"/>
      <c r="G72" s="174"/>
      <c r="H72" s="174"/>
      <c r="I72" s="113"/>
      <c r="J72" s="114"/>
      <c r="K72" s="115"/>
      <c r="L72" s="116"/>
      <c r="M72" s="115"/>
      <c r="N72" s="117"/>
    </row>
    <row r="73" spans="1:14" ht="15.6" x14ac:dyDescent="0.3">
      <c r="A73" s="118" t="s">
        <v>23</v>
      </c>
      <c r="B73" s="119"/>
      <c r="C73" s="120" t="s">
        <v>24</v>
      </c>
      <c r="D73" s="121"/>
      <c r="E73" s="122"/>
      <c r="F73" s="123"/>
      <c r="G73" s="121"/>
      <c r="H73" s="124"/>
      <c r="I73" s="192" t="s">
        <v>25</v>
      </c>
      <c r="J73" s="193"/>
      <c r="K73" s="193"/>
      <c r="L73" s="193"/>
      <c r="M73" s="193"/>
      <c r="N73" s="193"/>
    </row>
    <row r="74" spans="1:14" ht="13.5" customHeight="1" x14ac:dyDescent="0.3">
      <c r="A74" s="194" t="s">
        <v>55</v>
      </c>
      <c r="B74" s="195"/>
      <c r="C74" s="194" t="s">
        <v>26</v>
      </c>
      <c r="D74" s="200"/>
      <c r="E74" s="200"/>
      <c r="F74" s="200"/>
      <c r="G74" s="195"/>
      <c r="H74" s="125" t="s">
        <v>27</v>
      </c>
      <c r="I74" s="203" t="s">
        <v>66</v>
      </c>
      <c r="J74" s="203"/>
      <c r="K74" s="203"/>
      <c r="L74" s="203"/>
      <c r="M74" s="203"/>
      <c r="N74" s="203"/>
    </row>
    <row r="75" spans="1:14" x14ac:dyDescent="0.3">
      <c r="A75" s="196"/>
      <c r="B75" s="197"/>
      <c r="C75" s="196"/>
      <c r="D75" s="201"/>
      <c r="E75" s="201"/>
      <c r="F75" s="201"/>
      <c r="G75" s="197"/>
      <c r="H75" s="126" t="s">
        <v>28</v>
      </c>
      <c r="I75" s="204" t="s">
        <v>29</v>
      </c>
      <c r="J75" s="204"/>
      <c r="K75" s="204"/>
      <c r="L75" s="204"/>
      <c r="M75" s="204"/>
      <c r="N75" s="204"/>
    </row>
    <row r="76" spans="1:14" x14ac:dyDescent="0.3">
      <c r="A76" s="196"/>
      <c r="B76" s="197"/>
      <c r="C76" s="196"/>
      <c r="D76" s="201"/>
      <c r="E76" s="201"/>
      <c r="F76" s="201"/>
      <c r="G76" s="197"/>
      <c r="H76" s="126" t="s">
        <v>30</v>
      </c>
      <c r="I76" s="204" t="s">
        <v>38</v>
      </c>
      <c r="J76" s="204"/>
      <c r="K76" s="204"/>
      <c r="L76" s="204"/>
      <c r="M76" s="204"/>
      <c r="N76" s="204"/>
    </row>
    <row r="77" spans="1:14" x14ac:dyDescent="0.3">
      <c r="A77" s="196"/>
      <c r="B77" s="197"/>
      <c r="C77" s="196"/>
      <c r="D77" s="201"/>
      <c r="E77" s="201"/>
      <c r="F77" s="201"/>
      <c r="G77" s="197"/>
      <c r="H77" s="126" t="s">
        <v>31</v>
      </c>
      <c r="I77" s="205" t="s">
        <v>32</v>
      </c>
      <c r="J77" s="205"/>
      <c r="K77" s="205"/>
      <c r="L77" s="205"/>
      <c r="M77" s="205"/>
      <c r="N77" s="205"/>
    </row>
    <row r="78" spans="1:14" x14ac:dyDescent="0.3">
      <c r="A78" s="196"/>
      <c r="B78" s="197"/>
      <c r="C78" s="196"/>
      <c r="D78" s="201"/>
      <c r="E78" s="201"/>
      <c r="F78" s="201"/>
      <c r="G78" s="197"/>
      <c r="H78" s="126" t="s">
        <v>33</v>
      </c>
      <c r="I78" s="205" t="s">
        <v>34</v>
      </c>
      <c r="J78" s="205"/>
      <c r="K78" s="205"/>
      <c r="L78" s="205"/>
      <c r="M78" s="205"/>
      <c r="N78" s="205"/>
    </row>
    <row r="79" spans="1:14" x14ac:dyDescent="0.3">
      <c r="A79" s="198"/>
      <c r="B79" s="199"/>
      <c r="C79" s="198"/>
      <c r="D79" s="202"/>
      <c r="E79" s="202"/>
      <c r="F79" s="202"/>
      <c r="G79" s="199"/>
      <c r="H79" s="119" t="s">
        <v>35</v>
      </c>
      <c r="I79" s="206" t="s">
        <v>36</v>
      </c>
      <c r="J79" s="206"/>
      <c r="K79" s="206"/>
      <c r="L79" s="206"/>
      <c r="M79" s="206"/>
      <c r="N79" s="206"/>
    </row>
  </sheetData>
  <mergeCells count="70">
    <mergeCell ref="I73:N73"/>
    <mergeCell ref="A74:B79"/>
    <mergeCell ref="C74:G79"/>
    <mergeCell ref="I74:N74"/>
    <mergeCell ref="I75:N75"/>
    <mergeCell ref="I76:N76"/>
    <mergeCell ref="I77:N77"/>
    <mergeCell ref="I78:N78"/>
    <mergeCell ref="I79:N79"/>
    <mergeCell ref="C72:H72"/>
    <mergeCell ref="C53:H53"/>
    <mergeCell ref="C54:H54"/>
    <mergeCell ref="C55:H55"/>
    <mergeCell ref="C56:H56"/>
    <mergeCell ref="C58:H58"/>
    <mergeCell ref="C60:H60"/>
    <mergeCell ref="C63:H63"/>
    <mergeCell ref="C64:H64"/>
    <mergeCell ref="C65:H65"/>
    <mergeCell ref="C66:H70"/>
    <mergeCell ref="C71:H71"/>
    <mergeCell ref="C52:H52"/>
    <mergeCell ref="C41:H41"/>
    <mergeCell ref="C42:H42"/>
    <mergeCell ref="C43:H43"/>
    <mergeCell ref="C44:H44"/>
    <mergeCell ref="C45:H45"/>
    <mergeCell ref="C46:H46"/>
    <mergeCell ref="C47:H47"/>
    <mergeCell ref="C48:H48"/>
    <mergeCell ref="C49:H49"/>
    <mergeCell ref="C50:H50"/>
    <mergeCell ref="C51:H51"/>
    <mergeCell ref="C40:H40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C39:H39"/>
    <mergeCell ref="C28:H28"/>
    <mergeCell ref="E15:F15"/>
    <mergeCell ref="G15:I15"/>
    <mergeCell ref="K19:L19"/>
    <mergeCell ref="M19:N19"/>
    <mergeCell ref="C21:H21"/>
    <mergeCell ref="C22:H22"/>
    <mergeCell ref="C23:H23"/>
    <mergeCell ref="C24:H24"/>
    <mergeCell ref="C25:H25"/>
    <mergeCell ref="C26:H26"/>
    <mergeCell ref="C27:H27"/>
    <mergeCell ref="G17:I17"/>
    <mergeCell ref="I14:K14"/>
    <mergeCell ref="A1:C3"/>
    <mergeCell ref="E9:F9"/>
    <mergeCell ref="E10:F10"/>
    <mergeCell ref="G10:H10"/>
    <mergeCell ref="E11:F11"/>
    <mergeCell ref="G11:J11"/>
    <mergeCell ref="E12:F12"/>
    <mergeCell ref="G12:H12"/>
    <mergeCell ref="E13:F13"/>
    <mergeCell ref="G13:H13"/>
    <mergeCell ref="E14:F14"/>
  </mergeCells>
  <hyperlinks>
    <hyperlink ref="G17" r:id="rId1" xr:uid="{9EF9A64C-797C-47CA-A3D6-9855A9C09D57}"/>
    <hyperlink ref="G10" r:id="rId2" xr:uid="{57D0FA99-460C-4532-92AD-DE1108AB19B8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scale="51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Cotiación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Sisconper</dc:creator>
  <cp:lastModifiedBy>Carlos Medina</cp:lastModifiedBy>
  <cp:lastPrinted>2026-01-22T22:23:59Z</cp:lastPrinted>
  <dcterms:created xsi:type="dcterms:W3CDTF">2023-05-02T23:26:54Z</dcterms:created>
  <dcterms:modified xsi:type="dcterms:W3CDTF">2026-01-22T22:49:43Z</dcterms:modified>
</cp:coreProperties>
</file>